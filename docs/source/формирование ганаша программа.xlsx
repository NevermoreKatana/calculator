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nnafediai/Desktop/"/>
    </mc:Choice>
  </mc:AlternateContent>
  <xr:revisionPtr revIDLastSave="0" documentId="13_ncr:1_{85D3D945-3DCA-5944-9B27-6BA46A54CE50}" xr6:coauthVersionLast="47" xr6:coauthVersionMax="47" xr10:uidLastSave="{00000000-0000-0000-0000-000000000000}"/>
  <bookViews>
    <workbookView xWindow="11620" yWindow="1140" windowWidth="15400" windowHeight="16040" activeTab="1" xr2:uid="{00000000-000D-0000-FFFF-FFFF00000000}"/>
  </bookViews>
  <sheets>
    <sheet name="Database" sheetId="1" r:id="rId1"/>
    <sheet name="calculator" sheetId="2" r:id="rId2"/>
    <sheet name="page print" sheetId="3" r:id="rId3"/>
  </sheets>
  <definedNames>
    <definedName name="_xlnm._FilterDatabase" localSheetId="0" hidden="1">Database!$A$1:$I$2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0" i="2" l="1"/>
  <c r="E6" i="2" s="1"/>
  <c r="N6" i="2" s="1"/>
  <c r="N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B21" i="3"/>
  <c r="A2" i="3"/>
  <c r="G25" i="3" s="1"/>
  <c r="H25" i="3" s="1"/>
  <c r="B22" i="3"/>
  <c r="B23" i="3"/>
  <c r="B24" i="3"/>
  <c r="B25" i="3"/>
  <c r="B20" i="3"/>
  <c r="B19" i="3"/>
  <c r="B18" i="3"/>
  <c r="E19" i="2"/>
  <c r="I19" i="2" s="1"/>
  <c r="E15" i="2"/>
  <c r="M15" i="2" s="1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36" i="2"/>
  <c r="B37" i="2"/>
  <c r="B38" i="2"/>
  <c r="B39" i="2"/>
  <c r="B41" i="2"/>
  <c r="B42" i="2"/>
  <c r="B43" i="2"/>
  <c r="B44" i="2"/>
  <c r="B45" i="2"/>
  <c r="B46" i="2"/>
  <c r="B47" i="2"/>
  <c r="B48" i="2"/>
  <c r="B49" i="2"/>
  <c r="B50" i="2"/>
  <c r="B51" i="2"/>
  <c r="A31" i="2"/>
  <c r="A32" i="2"/>
  <c r="A33" i="2"/>
  <c r="A34" i="2"/>
  <c r="A35" i="2"/>
  <c r="A36" i="2"/>
  <c r="A37" i="2"/>
  <c r="A38" i="2"/>
  <c r="A39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B13" i="3"/>
  <c r="B14" i="3"/>
  <c r="B15" i="3"/>
  <c r="B16" i="3"/>
  <c r="B17" i="3"/>
  <c r="B12" i="3"/>
  <c r="B4" i="3"/>
  <c r="B27" i="2"/>
  <c r="B28" i="2"/>
  <c r="B29" i="2"/>
  <c r="B30" i="2"/>
  <c r="B31" i="2"/>
  <c r="B32" i="2"/>
  <c r="B33" i="2"/>
  <c r="B34" i="2"/>
  <c r="A4" i="2"/>
  <c r="A5" i="2"/>
  <c r="A6" i="2"/>
  <c r="A7" i="2"/>
  <c r="A8" i="2"/>
  <c r="A9" i="2"/>
  <c r="A10" i="2"/>
  <c r="A11" i="2"/>
  <c r="A12" i="2"/>
  <c r="A13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" i="2"/>
  <c r="B35" i="2"/>
  <c r="B6" i="2"/>
  <c r="B15" i="2"/>
  <c r="B25" i="2"/>
  <c r="B26" i="2"/>
  <c r="B2" i="2"/>
  <c r="B3" i="2"/>
  <c r="B4" i="2"/>
  <c r="B5" i="2"/>
  <c r="B7" i="2"/>
  <c r="B8" i="2"/>
  <c r="B9" i="2"/>
  <c r="B10" i="2"/>
  <c r="B11" i="2"/>
  <c r="B12" i="2"/>
  <c r="B13" i="2"/>
  <c r="B16" i="2"/>
  <c r="B17" i="2"/>
  <c r="B18" i="2"/>
  <c r="B19" i="2"/>
  <c r="B20" i="2"/>
  <c r="B21" i="2"/>
  <c r="B22" i="2"/>
  <c r="B23" i="2"/>
  <c r="B24" i="2"/>
  <c r="E26" i="2"/>
  <c r="H26" i="2" s="1"/>
  <c r="E17" i="2"/>
  <c r="G17" i="2" s="1"/>
  <c r="E21" i="2"/>
  <c r="J21" i="2" s="1"/>
  <c r="E25" i="2"/>
  <c r="H25" i="2" s="1"/>
  <c r="E28" i="2"/>
  <c r="J28" i="2" s="1"/>
  <c r="N15" i="2" l="1"/>
  <c r="E13" i="2"/>
  <c r="N13" i="2" s="1"/>
  <c r="G15" i="3"/>
  <c r="H15" i="3" s="1"/>
  <c r="E10" i="2"/>
  <c r="H10" i="2" s="1"/>
  <c r="G14" i="3"/>
  <c r="H14" i="3" s="1"/>
  <c r="F17" i="2"/>
  <c r="H17" i="2"/>
  <c r="M17" i="2"/>
  <c r="F28" i="2"/>
  <c r="G18" i="3"/>
  <c r="H18" i="3" s="1"/>
  <c r="G21" i="3"/>
  <c r="H21" i="3" s="1"/>
  <c r="L28" i="2"/>
  <c r="I15" i="2"/>
  <c r="K28" i="2"/>
  <c r="G15" i="2"/>
  <c r="I28" i="2"/>
  <c r="L15" i="2"/>
  <c r="J25" i="2"/>
  <c r="I25" i="2"/>
  <c r="M26" i="2"/>
  <c r="K26" i="2"/>
  <c r="G25" i="2"/>
  <c r="G19" i="2"/>
  <c r="L19" i="2"/>
  <c r="F19" i="2"/>
  <c r="F15" i="2"/>
  <c r="G24" i="3"/>
  <c r="H24" i="3" s="1"/>
  <c r="K17" i="2"/>
  <c r="G13" i="3"/>
  <c r="H13" i="3" s="1"/>
  <c r="G17" i="3"/>
  <c r="H17" i="3" s="1"/>
  <c r="H28" i="2"/>
  <c r="I26" i="2"/>
  <c r="E24" i="2"/>
  <c r="E22" i="2"/>
  <c r="J15" i="2"/>
  <c r="J19" i="2"/>
  <c r="G19" i="3"/>
  <c r="H19" i="3" s="1"/>
  <c r="E8" i="2"/>
  <c r="N8" i="2" s="1"/>
  <c r="H21" i="2"/>
  <c r="G28" i="2"/>
  <c r="L26" i="2"/>
  <c r="E20" i="2"/>
  <c r="E18" i="2"/>
  <c r="H18" i="2" s="1"/>
  <c r="H15" i="2"/>
  <c r="H19" i="2"/>
  <c r="G16" i="3"/>
  <c r="H16" i="3" s="1"/>
  <c r="G21" i="2"/>
  <c r="M28" i="2"/>
  <c r="J26" i="2"/>
  <c r="E16" i="2"/>
  <c r="E14" i="2"/>
  <c r="N14" i="2" s="1"/>
  <c r="K15" i="2"/>
  <c r="K19" i="2"/>
  <c r="E27" i="2"/>
  <c r="L27" i="2" s="1"/>
  <c r="G22" i="3"/>
  <c r="H22" i="3" s="1"/>
  <c r="E12" i="2"/>
  <c r="N12" i="2" s="1"/>
  <c r="G12" i="3"/>
  <c r="H12" i="3" s="1"/>
  <c r="L25" i="2"/>
  <c r="F26" i="2"/>
  <c r="E29" i="2"/>
  <c r="M19" i="2"/>
  <c r="E23" i="2"/>
  <c r="M23" i="2" s="1"/>
  <c r="G20" i="3"/>
  <c r="H20" i="3" s="1"/>
  <c r="K6" i="2"/>
  <c r="I6" i="2"/>
  <c r="M6" i="2"/>
  <c r="F6" i="2"/>
  <c r="J6" i="2"/>
  <c r="L6" i="2"/>
  <c r="G6" i="2"/>
  <c r="H6" i="2"/>
  <c r="F21" i="2"/>
  <c r="M25" i="2"/>
  <c r="L17" i="2"/>
  <c r="J17" i="2"/>
  <c r="K21" i="2"/>
  <c r="K25" i="2"/>
  <c r="G26" i="2"/>
  <c r="E11" i="2"/>
  <c r="N11" i="2" s="1"/>
  <c r="E7" i="2"/>
  <c r="N7" i="2" s="1"/>
  <c r="G23" i="3"/>
  <c r="H23" i="3" s="1"/>
  <c r="I17" i="2"/>
  <c r="I21" i="2"/>
  <c r="F25" i="2"/>
  <c r="M21" i="2"/>
  <c r="E5" i="2"/>
  <c r="L21" i="2"/>
  <c r="E9" i="2"/>
  <c r="N9" i="2" s="1"/>
  <c r="F10" i="2" l="1"/>
  <c r="J10" i="2"/>
  <c r="I10" i="2"/>
  <c r="K10" i="2"/>
  <c r="G10" i="2"/>
  <c r="M10" i="2"/>
  <c r="L10" i="2"/>
  <c r="N10" i="2"/>
  <c r="N30" i="2" s="1"/>
  <c r="F27" i="2"/>
  <c r="H27" i="2"/>
  <c r="F23" i="2"/>
  <c r="G18" i="2"/>
  <c r="G27" i="2"/>
  <c r="H23" i="2"/>
  <c r="F12" i="2"/>
  <c r="J12" i="2"/>
  <c r="M12" i="2"/>
  <c r="G12" i="2"/>
  <c r="H12" i="2"/>
  <c r="I12" i="2"/>
  <c r="K12" i="2"/>
  <c r="L12" i="2"/>
  <c r="M22" i="2"/>
  <c r="G22" i="2"/>
  <c r="K22" i="2"/>
  <c r="H22" i="2"/>
  <c r="J22" i="2"/>
  <c r="L22" i="2"/>
  <c r="F22" i="2"/>
  <c r="I22" i="2"/>
  <c r="G20" i="2"/>
  <c r="F20" i="2"/>
  <c r="J20" i="2"/>
  <c r="I20" i="2"/>
  <c r="H20" i="2"/>
  <c r="M20" i="2"/>
  <c r="L20" i="2"/>
  <c r="F29" i="2"/>
  <c r="J29" i="2"/>
  <c r="G29" i="2"/>
  <c r="I29" i="2"/>
  <c r="L29" i="2"/>
  <c r="K29" i="2"/>
  <c r="H29" i="2"/>
  <c r="M29" i="2"/>
  <c r="M8" i="2"/>
  <c r="J8" i="2"/>
  <c r="K8" i="2"/>
  <c r="I8" i="2"/>
  <c r="L8" i="2"/>
  <c r="H8" i="2"/>
  <c r="G8" i="2"/>
  <c r="F8" i="2"/>
  <c r="G16" i="2"/>
  <c r="J16" i="2"/>
  <c r="I16" i="2"/>
  <c r="K16" i="2"/>
  <c r="L16" i="2"/>
  <c r="H16" i="2"/>
  <c r="M16" i="2"/>
  <c r="F16" i="2"/>
  <c r="K18" i="2"/>
  <c r="F18" i="2"/>
  <c r="J18" i="2"/>
  <c r="I18" i="2"/>
  <c r="M18" i="2"/>
  <c r="I23" i="2"/>
  <c r="J23" i="2"/>
  <c r="L23" i="2"/>
  <c r="G23" i="2"/>
  <c r="K23" i="2"/>
  <c r="M24" i="2"/>
  <c r="K24" i="2"/>
  <c r="L24" i="2"/>
  <c r="F24" i="2"/>
  <c r="G24" i="2"/>
  <c r="J24" i="2"/>
  <c r="I24" i="2"/>
  <c r="H24" i="2"/>
  <c r="K27" i="2"/>
  <c r="M27" i="2"/>
  <c r="J27" i="2"/>
  <c r="I27" i="2"/>
  <c r="K20" i="2"/>
  <c r="L18" i="2"/>
  <c r="L14" i="2"/>
  <c r="J14" i="2"/>
  <c r="M14" i="2"/>
  <c r="K14" i="2"/>
  <c r="H14" i="2"/>
  <c r="I14" i="2"/>
  <c r="F14" i="2"/>
  <c r="G14" i="2"/>
  <c r="E30" i="2"/>
  <c r="G5" i="2"/>
  <c r="K5" i="2"/>
  <c r="L5" i="2"/>
  <c r="F5" i="2"/>
  <c r="M5" i="2"/>
  <c r="J5" i="2"/>
  <c r="I5" i="2"/>
  <c r="H5" i="2"/>
  <c r="H9" i="2"/>
  <c r="J9" i="2"/>
  <c r="G9" i="2"/>
  <c r="I9" i="2"/>
  <c r="L9" i="2"/>
  <c r="K9" i="2"/>
  <c r="F9" i="2"/>
  <c r="M9" i="2"/>
  <c r="J7" i="2"/>
  <c r="I7" i="2"/>
  <c r="M7" i="2"/>
  <c r="K7" i="2"/>
  <c r="H7" i="2"/>
  <c r="F7" i="2"/>
  <c r="G7" i="2"/>
  <c r="L7" i="2"/>
  <c r="K11" i="2"/>
  <c r="F11" i="2"/>
  <c r="J11" i="2"/>
  <c r="H11" i="2"/>
  <c r="L11" i="2"/>
  <c r="M11" i="2"/>
  <c r="I11" i="2"/>
  <c r="G11" i="2"/>
  <c r="H13" i="2"/>
  <c r="I13" i="2"/>
  <c r="J13" i="2"/>
  <c r="F13" i="2"/>
  <c r="L13" i="2"/>
  <c r="G13" i="2"/>
  <c r="K13" i="2"/>
  <c r="M13" i="2"/>
  <c r="J30" i="2" l="1"/>
  <c r="D38" i="2" s="1"/>
  <c r="K30" i="2"/>
  <c r="D40" i="2" s="1"/>
  <c r="I30" i="2"/>
  <c r="D39" i="2" s="1"/>
  <c r="F30" i="2"/>
  <c r="D37" i="2" s="1"/>
  <c r="G30" i="2"/>
  <c r="M30" i="2"/>
  <c r="L30" i="2"/>
  <c r="D41" i="2" s="1"/>
  <c r="H30" i="2"/>
  <c r="D36" i="2" l="1"/>
  <c r="D33" i="2"/>
  <c r="G32" i="3"/>
  <c r="G34" i="3" s="1"/>
  <c r="M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yuri</author>
  </authors>
  <commentList>
    <comment ref="D32" authorId="0" shapeId="0" xr:uid="{00000000-0006-0000-0100-000001000000}">
      <text>
        <r>
          <rPr>
            <sz val="8"/>
            <color rgb="FF000000"/>
            <rFont val="Tahoma"/>
            <family val="2"/>
          </rPr>
          <t>inserire manualmente il numero di porzioni she si ottengono dalla ricetta per calcolare il costo della porzione</t>
        </r>
      </text>
    </comment>
  </commentList>
</comments>
</file>

<file path=xl/sharedStrings.xml><?xml version="1.0" encoding="utf-8"?>
<sst xmlns="http://schemas.openxmlformats.org/spreadsheetml/2006/main" count="186" uniqueCount="153">
  <si>
    <t>g.</t>
  </si>
  <si>
    <t>%</t>
  </si>
  <si>
    <t>28-32</t>
  </si>
  <si>
    <t>water</t>
  </si>
  <si>
    <t>alcool 40%</t>
  </si>
  <si>
    <t>alcool 50%</t>
  </si>
  <si>
    <t>butter anhydrous 28</t>
  </si>
  <si>
    <t>butter cacao</t>
  </si>
  <si>
    <t>butter fresh</t>
  </si>
  <si>
    <t>callebaut 60/40/38</t>
  </si>
  <si>
    <t>callebaut 70/30/38</t>
  </si>
  <si>
    <t>callebaut 811</t>
  </si>
  <si>
    <t>callebaut velvet</t>
  </si>
  <si>
    <t>callebaut W2</t>
  </si>
  <si>
    <t>callebaut 823</t>
  </si>
  <si>
    <t>callebaut cocoa massa</t>
  </si>
  <si>
    <t>cream 35%</t>
  </si>
  <si>
    <t>lecithin soya</t>
  </si>
  <si>
    <t>mascarpone</t>
  </si>
  <si>
    <t>callebaut equateur</t>
  </si>
  <si>
    <t>callebaut madagascar</t>
  </si>
  <si>
    <t>callebaut sao thomé</t>
  </si>
  <si>
    <t>callebaut arriba</t>
  </si>
  <si>
    <t>pure hazelnut paste</t>
  </si>
  <si>
    <t>pure pecan paste</t>
  </si>
  <si>
    <t>pure pistachio paste</t>
  </si>
  <si>
    <t>sugar dextrose</t>
  </si>
  <si>
    <t>sugar glucose 40DE</t>
  </si>
  <si>
    <t>sugar glucose 60DE</t>
  </si>
  <si>
    <t>sugar inverted</t>
  </si>
  <si>
    <t>sugar sorbitol</t>
  </si>
  <si>
    <t>zest lemon</t>
  </si>
  <si>
    <t>zest orange</t>
  </si>
  <si>
    <t>cacao-barry Excellence</t>
  </si>
  <si>
    <t>bergamote</t>
  </si>
  <si>
    <t>spices</t>
  </si>
  <si>
    <t>power 41</t>
  </si>
  <si>
    <t>Valrhona Guanaja</t>
  </si>
  <si>
    <t xml:space="preserve">Valrhona Caraibe </t>
  </si>
  <si>
    <t>Valrhona Jivara</t>
  </si>
  <si>
    <t>Valrhona Mananka</t>
  </si>
  <si>
    <t>Valrhona Manjari</t>
  </si>
  <si>
    <t>Valrhona Tainori</t>
  </si>
  <si>
    <t>Valrhona Equatoriale noire</t>
  </si>
  <si>
    <t xml:space="preserve">Valrhona Equatorial latte </t>
  </si>
  <si>
    <t>Valrhona Ivoire</t>
  </si>
  <si>
    <t>milk</t>
  </si>
  <si>
    <t>ингредиенты</t>
  </si>
  <si>
    <t>сахара</t>
  </si>
  <si>
    <t>жиры</t>
  </si>
  <si>
    <t>масло какао</t>
  </si>
  <si>
    <t>сухое</t>
  </si>
  <si>
    <t>молоко</t>
  </si>
  <si>
    <t>сухие</t>
  </si>
  <si>
    <t>какао</t>
  </si>
  <si>
    <t>прочие</t>
  </si>
  <si>
    <t>вода</t>
  </si>
  <si>
    <t>цена</t>
  </si>
  <si>
    <t>сахар</t>
  </si>
  <si>
    <t>количество</t>
  </si>
  <si>
    <t>м.к.</t>
  </si>
  <si>
    <t>сс.м</t>
  </si>
  <si>
    <t>за кг</t>
  </si>
  <si>
    <t>общий вес</t>
  </si>
  <si>
    <t>колво порций</t>
  </si>
  <si>
    <t>цена за шт</t>
  </si>
  <si>
    <t>о рецепте</t>
  </si>
  <si>
    <t>общие жиры</t>
  </si>
  <si>
    <t>обш какао</t>
  </si>
  <si>
    <t>общ молочные сухие</t>
  </si>
  <si>
    <t>прочие сухие</t>
  </si>
  <si>
    <t>общее</t>
  </si>
  <si>
    <t>стоимость</t>
  </si>
  <si>
    <t>за шт</t>
  </si>
  <si>
    <t>за штуку</t>
  </si>
  <si>
    <t>название</t>
  </si>
  <si>
    <t>пометки</t>
  </si>
  <si>
    <t>Barry Alto el Sol</t>
  </si>
  <si>
    <t>Barry Mexique</t>
  </si>
  <si>
    <t>Barry Tanzanie</t>
  </si>
  <si>
    <t>Barry Cuba</t>
  </si>
  <si>
    <t>Barry Fleur de Cao</t>
  </si>
  <si>
    <t>Barry Papouasie</t>
  </si>
  <si>
    <t>Barry Excellence</t>
  </si>
  <si>
    <t>Barry Lactee Superieure</t>
  </si>
  <si>
    <t>Barry Blanc Satin</t>
  </si>
  <si>
    <t>Barry Zephyr</t>
  </si>
  <si>
    <t>Barry Ghana</t>
  </si>
  <si>
    <t>Valrhona Strawberry</t>
  </si>
  <si>
    <t>cream 38%</t>
  </si>
  <si>
    <t>Barry Saint Dominique</t>
  </si>
  <si>
    <t>Valrhona Ashanti</t>
  </si>
  <si>
    <t>Valrhona Alpaco</t>
  </si>
  <si>
    <t>oil</t>
  </si>
  <si>
    <t>Valrhona Azelia</t>
  </si>
  <si>
    <t>Alco lichi</t>
  </si>
  <si>
    <t>Valrhona Dulcey</t>
  </si>
  <si>
    <t>Valrhona Caramelia</t>
  </si>
  <si>
    <t>Valrhona Nyanbago</t>
  </si>
  <si>
    <t xml:space="preserve">Barry Extra bitter </t>
  </si>
  <si>
    <t>Сливки 33%</t>
  </si>
  <si>
    <t>banana puree</t>
  </si>
  <si>
    <t>pure almond pasтe</t>
  </si>
  <si>
    <t xml:space="preserve">praliné </t>
  </si>
  <si>
    <t>сладость</t>
  </si>
  <si>
    <t>Barry Madirofolo</t>
  </si>
  <si>
    <t>Barry Alunga</t>
  </si>
  <si>
    <t>Barry Concorde</t>
  </si>
  <si>
    <t>Barry Louvre</t>
  </si>
  <si>
    <t>Barry Force Noir</t>
  </si>
  <si>
    <t>Valrhona Bahibe</t>
  </si>
  <si>
    <t>alco 45%</t>
  </si>
  <si>
    <t>pure cacao paste</t>
  </si>
  <si>
    <t>Valrhona Almonds inspiration</t>
  </si>
  <si>
    <t>citric solution</t>
  </si>
  <si>
    <t>sosa fruit puree</t>
  </si>
  <si>
    <t>butter noisette</t>
  </si>
  <si>
    <t>fruit puree абрикос</t>
  </si>
  <si>
    <t>fruit puree облепиха</t>
  </si>
  <si>
    <t>fruit puree ежевика</t>
  </si>
  <si>
    <t>fruit puree голубика</t>
  </si>
  <si>
    <t>fruit puree каламанси</t>
  </si>
  <si>
    <t>fruit Puree черная смородина</t>
  </si>
  <si>
    <t>fruit puree вишня</t>
  </si>
  <si>
    <t>fruit puree кокс capfruit</t>
  </si>
  <si>
    <t>fruit puree инжир</t>
  </si>
  <si>
    <t>fruit Puree личи</t>
  </si>
  <si>
    <t>fruit purée лайм</t>
  </si>
  <si>
    <t>fruit puree мандарин</t>
  </si>
  <si>
    <t>fruit puree манго</t>
  </si>
  <si>
    <t>fruit purée маракуйя capfruit</t>
  </si>
  <si>
    <t>fruit puree персик</t>
  </si>
  <si>
    <t>fruit puree груша</t>
  </si>
  <si>
    <t>fruit puree ананас</t>
  </si>
  <si>
    <t>fruit puree зеленое яблоко</t>
  </si>
  <si>
    <t>fruit purée малина</t>
  </si>
  <si>
    <t>fruit puree клубника</t>
  </si>
  <si>
    <t>Fruit puree белый персик</t>
  </si>
  <si>
    <t>fruit puree земляника</t>
  </si>
  <si>
    <t>fruit purée юзу</t>
  </si>
  <si>
    <t>fruit puree греийпфрут</t>
  </si>
  <si>
    <t>fruit puree banana</t>
  </si>
  <si>
    <t>thina</t>
  </si>
  <si>
    <t>sel</t>
  </si>
  <si>
    <t>valrhona Biskelia</t>
  </si>
  <si>
    <t>раст.жиры и молочные</t>
  </si>
  <si>
    <t>процент</t>
  </si>
  <si>
    <t>название рецепта</t>
  </si>
  <si>
    <t>единицы</t>
  </si>
  <si>
    <t>вес</t>
  </si>
  <si>
    <t>Valrhona Opalys</t>
  </si>
  <si>
    <t>Valrhona Tanariva</t>
  </si>
  <si>
    <t>glucose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</si>
</sst>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€&quot;\ * #,##0.00_-;\-&quot;€&quot;\ * #,##0.00_-;_-&quot;€&quot;\ * &quot;-&quot;??_-;_-@_-"/>
    <numFmt numFmtId="165" formatCode="0.0%"/>
    <numFmt numFmtId="166" formatCode="&quot;€&quot;\ #,##0.00"/>
    <numFmt numFmtId="167" formatCode="_-&quot;€&quot;\ * #,##0.0_-;\-&quot;€&quot;\ * #,##0.0_-;_-&quot;€&quot;\ * &quot;-&quot;?_-;_-@_-"/>
    <numFmt numFmtId="168" formatCode="_-&quot;€&quot;\ * #,##0.00_-;\-&quot;€&quot;\ * #,##0.00_-;_-&quot;€&quot;\ * &quot;-&quot;?_-;_-@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i/>
      <sz val="1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26">
    <xf numFmtId="0" fontId="0" fillId="0" borderId="0" xfId="0"/>
    <xf numFmtId="9" fontId="0" fillId="0" borderId="0" xfId="2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" fontId="0" fillId="0" borderId="0" xfId="0" applyNumberFormat="1"/>
    <xf numFmtId="1" fontId="3" fillId="0" borderId="9" xfId="0" applyNumberFormat="1" applyFont="1" applyBorder="1"/>
    <xf numFmtId="1" fontId="0" fillId="0" borderId="10" xfId="0" applyNumberFormat="1" applyBorder="1"/>
    <xf numFmtId="1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0" xfId="0" applyFont="1"/>
    <xf numFmtId="165" fontId="0" fillId="0" borderId="0" xfId="0" applyNumberFormat="1"/>
    <xf numFmtId="1" fontId="4" fillId="0" borderId="20" xfId="0" applyNumberFormat="1" applyFont="1" applyBorder="1" applyAlignment="1">
      <alignment horizontal="right"/>
    </xf>
    <xf numFmtId="0" fontId="6" fillId="0" borderId="21" xfId="0" applyFont="1" applyBorder="1"/>
    <xf numFmtId="0" fontId="1" fillId="0" borderId="0" xfId="0" applyFont="1"/>
    <xf numFmtId="0" fontId="7" fillId="0" borderId="0" xfId="0" applyFont="1"/>
    <xf numFmtId="0" fontId="8" fillId="0" borderId="0" xfId="0" applyFont="1"/>
    <xf numFmtId="0" fontId="0" fillId="0" borderId="22" xfId="0" applyBorder="1"/>
    <xf numFmtId="0" fontId="0" fillId="0" borderId="23" xfId="0" applyBorder="1"/>
    <xf numFmtId="167" fontId="0" fillId="0" borderId="0" xfId="0" applyNumberFormat="1"/>
    <xf numFmtId="165" fontId="0" fillId="0" borderId="22" xfId="0" applyNumberFormat="1" applyBorder="1"/>
    <xf numFmtId="0" fontId="0" fillId="2" borderId="0" xfId="0" applyFill="1"/>
    <xf numFmtId="165" fontId="3" fillId="0" borderId="0" xfId="0" applyNumberFormat="1" applyFont="1"/>
    <xf numFmtId="10" fontId="3" fillId="0" borderId="0" xfId="0" applyNumberFormat="1" applyFont="1"/>
    <xf numFmtId="9" fontId="4" fillId="0" borderId="0" xfId="0" applyNumberFormat="1" applyFont="1" applyAlignment="1">
      <alignment horizontal="right"/>
    </xf>
    <xf numFmtId="0" fontId="0" fillId="0" borderId="10" xfId="0" applyBorder="1"/>
    <xf numFmtId="0" fontId="0" fillId="0" borderId="11" xfId="0" applyBorder="1"/>
    <xf numFmtId="0" fontId="5" fillId="0" borderId="0" xfId="0" applyFont="1"/>
    <xf numFmtId="0" fontId="3" fillId="0" borderId="17" xfId="0" applyFont="1" applyBorder="1"/>
    <xf numFmtId="0" fontId="3" fillId="0" borderId="18" xfId="0" applyFont="1" applyBorder="1"/>
    <xf numFmtId="0" fontId="0" fillId="0" borderId="8" xfId="0" applyBorder="1"/>
    <xf numFmtId="164" fontId="4" fillId="0" borderId="19" xfId="0" applyNumberFormat="1" applyFont="1" applyBorder="1" applyAlignment="1">
      <alignment horizontal="right"/>
    </xf>
    <xf numFmtId="164" fontId="0" fillId="0" borderId="19" xfId="0" applyNumberFormat="1" applyBorder="1"/>
    <xf numFmtId="0" fontId="3" fillId="0" borderId="9" xfId="0" applyFont="1" applyBorder="1"/>
    <xf numFmtId="0" fontId="3" fillId="0" borderId="0" xfId="0" applyFont="1" applyAlignment="1">
      <alignment horizontal="left"/>
    </xf>
    <xf numFmtId="0" fontId="0" fillId="0" borderId="6" xfId="0" applyBorder="1"/>
    <xf numFmtId="1" fontId="0" fillId="0" borderId="8" xfId="0" applyNumberFormat="1" applyBorder="1"/>
    <xf numFmtId="1" fontId="0" fillId="0" borderId="19" xfId="0" applyNumberFormat="1" applyBorder="1"/>
    <xf numFmtId="1" fontId="0" fillId="0" borderId="18" xfId="0" applyNumberFormat="1" applyBorder="1"/>
    <xf numFmtId="0" fontId="3" fillId="5" borderId="25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4" fillId="0" borderId="0" xfId="0" applyFont="1"/>
    <xf numFmtId="165" fontId="5" fillId="3" borderId="9" xfId="0" applyNumberFormat="1" applyFont="1" applyFill="1" applyBorder="1" applyAlignment="1">
      <alignment horizontal="center"/>
    </xf>
    <xf numFmtId="166" fontId="3" fillId="2" borderId="6" xfId="0" applyNumberFormat="1" applyFont="1" applyFill="1" applyBorder="1"/>
    <xf numFmtId="0" fontId="5" fillId="0" borderId="1" xfId="0" applyFont="1" applyBorder="1"/>
    <xf numFmtId="165" fontId="5" fillId="0" borderId="10" xfId="0" applyNumberFormat="1" applyFont="1" applyBorder="1"/>
    <xf numFmtId="165" fontId="3" fillId="0" borderId="10" xfId="0" applyNumberFormat="1" applyFont="1" applyBorder="1"/>
    <xf numFmtId="0" fontId="3" fillId="0" borderId="1" xfId="0" applyFont="1" applyBorder="1"/>
    <xf numFmtId="0" fontId="3" fillId="0" borderId="2" xfId="0" applyFont="1" applyBorder="1"/>
    <xf numFmtId="165" fontId="3" fillId="0" borderId="11" xfId="0" applyNumberFormat="1" applyFont="1" applyBorder="1"/>
    <xf numFmtId="0" fontId="0" fillId="5" borderId="0" xfId="0" applyFill="1" applyAlignment="1">
      <alignment horizontal="center"/>
    </xf>
    <xf numFmtId="0" fontId="0" fillId="0" borderId="21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25" xfId="0" applyBorder="1" applyAlignment="1" applyProtection="1">
      <alignment horizontal="right"/>
      <protection locked="0"/>
    </xf>
    <xf numFmtId="0" fontId="0" fillId="0" borderId="15" xfId="0" applyBorder="1" applyProtection="1">
      <protection locked="0"/>
    </xf>
    <xf numFmtId="0" fontId="0" fillId="0" borderId="22" xfId="0" applyBorder="1" applyAlignment="1" applyProtection="1">
      <alignment horizontal="right"/>
      <protection locked="0"/>
    </xf>
    <xf numFmtId="0" fontId="0" fillId="0" borderId="22" xfId="0" applyBorder="1" applyProtection="1">
      <protection locked="0"/>
    </xf>
    <xf numFmtId="165" fontId="0" fillId="0" borderId="22" xfId="0" applyNumberFormat="1" applyBorder="1" applyProtection="1">
      <protection hidden="1"/>
    </xf>
    <xf numFmtId="164" fontId="0" fillId="0" borderId="22" xfId="0" applyNumberFormat="1" applyBorder="1" applyProtection="1">
      <protection hidden="1"/>
    </xf>
    <xf numFmtId="1" fontId="3" fillId="2" borderId="6" xfId="0" applyNumberFormat="1" applyFont="1" applyFill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13" xfId="0" applyFon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0" xfId="0" applyAlignment="1">
      <alignment horizontal="left"/>
    </xf>
    <xf numFmtId="10" fontId="0" fillId="0" borderId="0" xfId="0" applyNumberFormat="1"/>
    <xf numFmtId="0" fontId="3" fillId="6" borderId="3" xfId="0" applyFont="1" applyFill="1" applyBorder="1"/>
    <xf numFmtId="0" fontId="3" fillId="6" borderId="4" xfId="0" applyFont="1" applyFill="1" applyBorder="1"/>
    <xf numFmtId="0" fontId="3" fillId="6" borderId="24" xfId="0" applyFont="1" applyFill="1" applyBorder="1"/>
    <xf numFmtId="0" fontId="3" fillId="6" borderId="25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center"/>
    </xf>
    <xf numFmtId="165" fontId="5" fillId="6" borderId="9" xfId="0" applyNumberFormat="1" applyFont="1" applyFill="1" applyBorder="1" applyAlignment="1">
      <alignment horizontal="center"/>
    </xf>
    <xf numFmtId="0" fontId="3" fillId="6" borderId="27" xfId="0" applyFont="1" applyFill="1" applyBorder="1" applyAlignment="1">
      <alignment horizontal="center"/>
    </xf>
    <xf numFmtId="168" fontId="0" fillId="6" borderId="9" xfId="0" applyNumberFormat="1" applyFill="1" applyBorder="1"/>
    <xf numFmtId="165" fontId="5" fillId="6" borderId="4" xfId="0" applyNumberFormat="1" applyFont="1" applyFill="1" applyBorder="1" applyAlignment="1">
      <alignment horizontal="center"/>
    </xf>
    <xf numFmtId="0" fontId="5" fillId="6" borderId="4" xfId="0" applyFont="1" applyFill="1" applyBorder="1"/>
    <xf numFmtId="0" fontId="5" fillId="6" borderId="26" xfId="0" applyFont="1" applyFill="1" applyBorder="1"/>
    <xf numFmtId="10" fontId="3" fillId="6" borderId="27" xfId="0" applyNumberFormat="1" applyFont="1" applyFill="1" applyBorder="1"/>
    <xf numFmtId="0" fontId="3" fillId="6" borderId="9" xfId="0" applyFont="1" applyFill="1" applyBorder="1"/>
    <xf numFmtId="0" fontId="3" fillId="6" borderId="4" xfId="0" applyFont="1" applyFill="1" applyBorder="1" applyAlignment="1">
      <alignment horizontal="center"/>
    </xf>
    <xf numFmtId="168" fontId="0" fillId="6" borderId="6" xfId="0" applyNumberFormat="1" applyFill="1" applyBorder="1"/>
    <xf numFmtId="0" fontId="3" fillId="6" borderId="23" xfId="0" applyFont="1" applyFill="1" applyBorder="1" applyAlignment="1">
      <alignment horizont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167" fontId="0" fillId="6" borderId="0" xfId="0" applyNumberFormat="1" applyFill="1"/>
    <xf numFmtId="0" fontId="3" fillId="6" borderId="0" xfId="0" applyFont="1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0" fillId="7" borderId="0" xfId="0" applyFill="1"/>
    <xf numFmtId="0" fontId="3" fillId="7" borderId="22" xfId="0" applyFont="1" applyFill="1" applyBorder="1" applyAlignment="1">
      <alignment horizontal="center"/>
    </xf>
    <xf numFmtId="0" fontId="3" fillId="10" borderId="23" xfId="0" applyFont="1" applyFill="1" applyBorder="1" applyAlignment="1">
      <alignment horizontal="center"/>
    </xf>
    <xf numFmtId="0" fontId="3" fillId="10" borderId="23" xfId="0" applyFont="1" applyFill="1" applyBorder="1" applyAlignment="1">
      <alignment horizontal="center" wrapText="1"/>
    </xf>
    <xf numFmtId="0" fontId="0" fillId="9" borderId="0" xfId="0" applyFill="1"/>
    <xf numFmtId="0" fontId="3" fillId="9" borderId="22" xfId="0" applyFont="1" applyFill="1" applyBorder="1" applyAlignment="1">
      <alignment horizontal="center"/>
    </xf>
    <xf numFmtId="0" fontId="3" fillId="11" borderId="25" xfId="0" applyFont="1" applyFill="1" applyBorder="1" applyAlignment="1">
      <alignment horizontal="center"/>
    </xf>
    <xf numFmtId="0" fontId="3" fillId="11" borderId="22" xfId="0" applyFont="1" applyFill="1" applyBorder="1" applyAlignment="1">
      <alignment horizontal="center"/>
    </xf>
    <xf numFmtId="0" fontId="3" fillId="11" borderId="23" xfId="0" applyFont="1" applyFill="1" applyBorder="1" applyAlignment="1">
      <alignment horizontal="center"/>
    </xf>
    <xf numFmtId="0" fontId="9" fillId="11" borderId="0" xfId="0" applyFont="1" applyFill="1"/>
    <xf numFmtId="10" fontId="0" fillId="4" borderId="0" xfId="0" applyNumberFormat="1" applyFill="1"/>
    <xf numFmtId="165" fontId="0" fillId="6" borderId="22" xfId="0" applyNumberFormat="1" applyFill="1" applyBorder="1" applyProtection="1">
      <protection hidden="1"/>
    </xf>
    <xf numFmtId="165" fontId="5" fillId="12" borderId="4" xfId="0" applyNumberFormat="1" applyFont="1" applyFill="1" applyBorder="1" applyAlignment="1">
      <alignment horizontal="center"/>
    </xf>
    <xf numFmtId="165" fontId="5" fillId="13" borderId="9" xfId="0" applyNumberFormat="1" applyFont="1" applyFill="1" applyBorder="1" applyAlignment="1">
      <alignment horizontal="center"/>
    </xf>
    <xf numFmtId="165" fontId="5" fillId="8" borderId="9" xfId="0" applyNumberFormat="1" applyFont="1" applyFill="1" applyBorder="1" applyAlignment="1">
      <alignment horizontal="center"/>
    </xf>
    <xf numFmtId="165" fontId="5" fillId="7" borderId="9" xfId="0" applyNumberFormat="1" applyFont="1" applyFill="1" applyBorder="1" applyAlignment="1">
      <alignment horizontal="center"/>
    </xf>
    <xf numFmtId="0" fontId="12" fillId="0" borderId="15" xfId="0" applyFont="1" applyBorder="1" applyProtection="1">
      <protection locked="0"/>
    </xf>
    <xf numFmtId="167" fontId="3" fillId="6" borderId="25" xfId="0" applyNumberFormat="1" applyFont="1" applyFill="1" applyBorder="1" applyAlignment="1">
      <alignment horizontal="center"/>
    </xf>
    <xf numFmtId="167" fontId="3" fillId="6" borderId="23" xfId="0" applyNumberFormat="1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7" fillId="6" borderId="25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1" fillId="0" borderId="15" xfId="0" applyFont="1" applyBorder="1" applyProtection="1">
      <protection locked="0"/>
    </xf>
  </cellXfs>
  <cellStyles count="9">
    <cellStyle name="Гиперссылка" xfId="3" builtinId="8" hidden="1"/>
    <cellStyle name="Гиперссылка" xfId="5" builtinId="8" hidden="1"/>
    <cellStyle name="Гиперссылка" xfId="7" builtinId="8" hidden="1"/>
    <cellStyle name="Обычный" xfId="0" builtinId="0"/>
    <cellStyle name="Открывавшаяся гиперссылка" xfId="4" builtinId="9" hidden="1"/>
    <cellStyle name="Открывавшаяся гиперссылка" xfId="6" builtinId="9" hidden="1"/>
    <cellStyle name="Открывавшаяся гиперссылка" xfId="8" builtinId="9" hidden="1"/>
    <cellStyle name="Процентный" xfId="2" builtinId="5"/>
    <cellStyle name="Normale 2" xfId="1" xr:uid="{00000000-0005-0000-0000-000007000000}"/>
  </cellStyles>
  <dxfs count="2">
    <dxf>
      <font>
        <condense val="0"/>
        <extend val="0"/>
        <color indexed="11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4558874474017697E-2"/>
          <c:y val="0.118108825458225"/>
          <c:w val="0.68555256776412499"/>
          <c:h val="0.7419033257264010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explosion val="42"/>
          <c:dPt>
            <c:idx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09E0-4FD6-BEF1-14793482C55E}"/>
              </c:ext>
            </c:extLst>
          </c:dPt>
          <c:dPt>
            <c:idx val="1"/>
            <c:bubble3D val="0"/>
            <c:spPr>
              <a:solidFill>
                <a:srgbClr val="DD080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09E0-4FD6-BEF1-14793482C55E}"/>
              </c:ext>
            </c:extLst>
          </c:dPt>
          <c:dPt>
            <c:idx val="2"/>
            <c:bubble3D val="0"/>
            <c:spPr>
              <a:solidFill>
                <a:srgbClr val="984807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09E0-4FD6-BEF1-14793482C55E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09E0-4FD6-BEF1-14793482C55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09E0-4FD6-BEF1-14793482C55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A-09E0-4FD6-BEF1-14793482C55E}"/>
              </c:ext>
            </c:extLst>
          </c:dPt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calculator!$C$36:$D$41</c:f>
              <c:multiLvlStrCache>
                <c:ptCount val="6"/>
                <c:lvl>
                  <c:pt idx="0">
                    <c:v>21,8%</c:v>
                  </c:pt>
                  <c:pt idx="1">
                    <c:v>36,0%</c:v>
                  </c:pt>
                  <c:pt idx="2">
                    <c:v>1,7%</c:v>
                  </c:pt>
                  <c:pt idx="3">
                    <c:v>9,6%</c:v>
                  </c:pt>
                  <c:pt idx="4">
                    <c:v>0,0%</c:v>
                  </c:pt>
                  <c:pt idx="5">
                    <c:v>21,9%</c:v>
                  </c:pt>
                </c:lvl>
                <c:lvl>
                  <c:pt idx="0">
                    <c:v>общие жиры</c:v>
                  </c:pt>
                  <c:pt idx="1">
                    <c:v>сахара</c:v>
                  </c:pt>
                  <c:pt idx="2">
                    <c:v>обш какао</c:v>
                  </c:pt>
                  <c:pt idx="3">
                    <c:v>общ молочные сухие</c:v>
                  </c:pt>
                  <c:pt idx="4">
                    <c:v>прочие сухие</c:v>
                  </c:pt>
                  <c:pt idx="5">
                    <c:v>вода</c:v>
                  </c:pt>
                </c:lvl>
              </c:multiLvlStrCache>
            </c:multiLvlStrRef>
          </c:cat>
          <c:val>
            <c:numRef>
              <c:f>calculator!$D$36:$D$41</c:f>
              <c:numCache>
                <c:formatCode>0.0%</c:formatCode>
                <c:ptCount val="6"/>
                <c:pt idx="0">
                  <c:v>0.21822676334871458</c:v>
                </c:pt>
                <c:pt idx="1">
                  <c:v>0.35980553724456166</c:v>
                </c:pt>
                <c:pt idx="2">
                  <c:v>1.7303889255108767E-2</c:v>
                </c:pt>
                <c:pt idx="3">
                  <c:v>9.5764667106130533E-2</c:v>
                </c:pt>
                <c:pt idx="4">
                  <c:v>0</c:v>
                </c:pt>
                <c:pt idx="5">
                  <c:v>0.21859920896506263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9E0-4FD6-BEF1-14793482C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6217805461083801"/>
          <c:y val="6.25E-2"/>
          <c:w val="0.19304173795434601"/>
          <c:h val="0.87946428571428603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31</xdr:row>
      <xdr:rowOff>66675</xdr:rowOff>
    </xdr:from>
    <xdr:to>
      <xdr:col>14</xdr:col>
      <xdr:colOff>85725</xdr:colOff>
      <xdr:row>44</xdr:row>
      <xdr:rowOff>95250</xdr:rowOff>
    </xdr:to>
    <xdr:graphicFrame macro="">
      <xdr:nvGraphicFramePr>
        <xdr:cNvPr id="1167" name="Grafico 1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2"/>
  <sheetViews>
    <sheetView zoomScale="125" zoomScaleNormal="125" zoomScalePageLayoutView="125" workbookViewId="0">
      <pane ySplit="1760" activePane="bottomLeft"/>
      <selection activeCell="C2" sqref="C2"/>
      <selection pane="bottomLeft" activeCell="J80" sqref="J80"/>
    </sheetView>
  </sheetViews>
  <sheetFormatPr baseColWidth="10" defaultColWidth="8.6640625" defaultRowHeight="13" x14ac:dyDescent="0.15"/>
  <cols>
    <col min="1" max="1" width="44" customWidth="1"/>
    <col min="9" max="9" width="9.1640625" style="31" customWidth="1"/>
    <col min="10" max="10" width="8.6640625" style="77"/>
  </cols>
  <sheetData>
    <row r="1" spans="1:11" x14ac:dyDescent="0.15">
      <c r="A1" s="119" t="s">
        <v>47</v>
      </c>
      <c r="B1" s="99"/>
      <c r="C1" s="121" t="s">
        <v>49</v>
      </c>
      <c r="D1" s="122"/>
      <c r="E1" s="84" t="s">
        <v>51</v>
      </c>
      <c r="F1" s="51" t="s">
        <v>53</v>
      </c>
      <c r="G1" s="81" t="s">
        <v>55</v>
      </c>
      <c r="H1" s="106"/>
      <c r="I1" s="117" t="s">
        <v>57</v>
      </c>
      <c r="J1" s="110"/>
    </row>
    <row r="2" spans="1:11" ht="28" x14ac:dyDescent="0.15">
      <c r="A2" s="120"/>
      <c r="B2" s="98" t="s">
        <v>48</v>
      </c>
      <c r="C2" s="102" t="s">
        <v>145</v>
      </c>
      <c r="D2" s="103" t="s">
        <v>50</v>
      </c>
      <c r="E2" s="93" t="s">
        <v>52</v>
      </c>
      <c r="F2" s="53" t="s">
        <v>54</v>
      </c>
      <c r="G2" s="93" t="s">
        <v>53</v>
      </c>
      <c r="H2" s="108" t="s">
        <v>56</v>
      </c>
      <c r="I2" s="118"/>
      <c r="J2" s="110" t="s">
        <v>104</v>
      </c>
    </row>
    <row r="3" spans="1:11" x14ac:dyDescent="0.15">
      <c r="A3" s="97"/>
      <c r="B3" s="100"/>
      <c r="C3" s="104"/>
      <c r="D3" s="104"/>
      <c r="E3" s="94"/>
      <c r="F3" s="63"/>
      <c r="G3" s="95"/>
      <c r="H3" s="109"/>
      <c r="I3" s="96"/>
      <c r="J3" s="110"/>
    </row>
    <row r="4" spans="1:11" x14ac:dyDescent="0.15">
      <c r="A4" s="54"/>
      <c r="B4" s="23"/>
      <c r="C4" s="23"/>
      <c r="D4" s="23"/>
      <c r="E4" s="23"/>
      <c r="F4" s="23"/>
      <c r="G4" s="23"/>
      <c r="H4" s="23"/>
    </row>
    <row r="5" spans="1:11" x14ac:dyDescent="0.15">
      <c r="A5" s="54"/>
      <c r="B5" s="23"/>
      <c r="C5" s="23"/>
      <c r="D5" s="23"/>
      <c r="E5" s="23"/>
      <c r="F5" s="23"/>
      <c r="G5" s="23"/>
      <c r="H5" s="23"/>
    </row>
    <row r="6" spans="1:11" x14ac:dyDescent="0.15">
      <c r="A6" t="s">
        <v>95</v>
      </c>
      <c r="B6" s="23"/>
      <c r="C6" s="23"/>
      <c r="D6" s="23"/>
      <c r="E6" s="23"/>
      <c r="F6" s="23"/>
      <c r="G6" s="23"/>
      <c r="H6" s="23">
        <v>0.79</v>
      </c>
      <c r="I6" s="31">
        <v>0</v>
      </c>
    </row>
    <row r="7" spans="1:11" x14ac:dyDescent="0.15">
      <c r="A7" t="s">
        <v>4</v>
      </c>
      <c r="B7" s="23"/>
      <c r="C7" s="23"/>
      <c r="D7" s="23"/>
      <c r="E7" s="23"/>
      <c r="F7" s="23"/>
      <c r="G7" s="23"/>
      <c r="H7" s="23">
        <v>0.6</v>
      </c>
      <c r="I7" s="31">
        <v>270</v>
      </c>
    </row>
    <row r="8" spans="1:11" x14ac:dyDescent="0.15">
      <c r="A8" t="s">
        <v>5</v>
      </c>
      <c r="B8" s="23"/>
      <c r="C8" s="23"/>
      <c r="D8" s="23"/>
      <c r="E8" s="23"/>
      <c r="F8" s="23"/>
      <c r="G8" s="23"/>
      <c r="H8" s="23">
        <v>0.5</v>
      </c>
      <c r="I8" s="31">
        <v>180</v>
      </c>
    </row>
    <row r="9" spans="1:11" x14ac:dyDescent="0.15">
      <c r="A9" t="s">
        <v>101</v>
      </c>
      <c r="B9" s="23">
        <v>0.25</v>
      </c>
      <c r="C9" s="23"/>
      <c r="D9" s="23"/>
      <c r="E9" s="23"/>
      <c r="F9" s="23"/>
      <c r="G9" s="23">
        <v>0.18</v>
      </c>
      <c r="H9" s="23">
        <v>0.56999999999999995</v>
      </c>
      <c r="I9" s="31">
        <v>0</v>
      </c>
      <c r="J9" s="77">
        <v>0.25</v>
      </c>
      <c r="K9" s="36"/>
    </row>
    <row r="10" spans="1:11" x14ac:dyDescent="0.15">
      <c r="A10" t="s">
        <v>77</v>
      </c>
      <c r="B10" s="23">
        <v>0.35</v>
      </c>
      <c r="C10" s="23"/>
      <c r="D10" s="23">
        <v>0.37</v>
      </c>
      <c r="E10" s="23"/>
      <c r="F10" s="23">
        <v>0.27</v>
      </c>
      <c r="G10" s="23"/>
      <c r="H10" s="23"/>
      <c r="I10" s="31">
        <v>0</v>
      </c>
      <c r="J10" s="77">
        <v>0.35</v>
      </c>
      <c r="K10" s="36"/>
    </row>
    <row r="11" spans="1:11" x14ac:dyDescent="0.15">
      <c r="A11" t="s">
        <v>85</v>
      </c>
      <c r="B11" s="23">
        <v>0.49</v>
      </c>
      <c r="C11" s="23">
        <v>0.04</v>
      </c>
      <c r="D11" s="23">
        <v>0.28999999999999998</v>
      </c>
      <c r="E11" s="23">
        <v>0.16</v>
      </c>
      <c r="F11" s="23"/>
      <c r="G11" s="23"/>
      <c r="H11" s="23"/>
      <c r="I11" s="31">
        <v>0</v>
      </c>
      <c r="J11" s="77">
        <v>0.49</v>
      </c>
      <c r="K11" s="36"/>
    </row>
    <row r="12" spans="1:11" x14ac:dyDescent="0.15">
      <c r="A12" s="76" t="s">
        <v>80</v>
      </c>
      <c r="B12" s="23">
        <v>0.3</v>
      </c>
      <c r="C12" s="23"/>
      <c r="D12" s="23">
        <v>0.41</v>
      </c>
      <c r="E12" s="23"/>
      <c r="F12" s="23">
        <v>0.28000000000000003</v>
      </c>
      <c r="G12" s="23"/>
      <c r="H12" s="23"/>
      <c r="I12" s="31">
        <v>0</v>
      </c>
      <c r="J12" s="77">
        <v>0.3</v>
      </c>
      <c r="K12" s="36"/>
    </row>
    <row r="13" spans="1:11" x14ac:dyDescent="0.15">
      <c r="A13" t="s">
        <v>83</v>
      </c>
      <c r="B13" s="23">
        <v>0.45</v>
      </c>
      <c r="C13" s="23"/>
      <c r="D13" s="23">
        <v>0.34</v>
      </c>
      <c r="E13" s="23"/>
      <c r="F13" s="23">
        <v>0.18</v>
      </c>
      <c r="G13" s="23"/>
      <c r="H13" s="23"/>
      <c r="I13" s="31">
        <v>0</v>
      </c>
      <c r="J13" s="77">
        <v>0.45</v>
      </c>
      <c r="K13" s="36"/>
    </row>
    <row r="14" spans="1:11" x14ac:dyDescent="0.15">
      <c r="A14" t="s">
        <v>99</v>
      </c>
      <c r="B14" s="23">
        <v>0.35</v>
      </c>
      <c r="C14" s="23"/>
      <c r="D14" s="23">
        <v>0.41</v>
      </c>
      <c r="E14" s="23"/>
      <c r="F14" s="23">
        <v>0.23</v>
      </c>
      <c r="G14" s="23"/>
      <c r="H14" s="23"/>
      <c r="I14" s="31">
        <v>0</v>
      </c>
      <c r="J14" s="77">
        <v>0.35</v>
      </c>
      <c r="K14" s="36"/>
    </row>
    <row r="15" spans="1:11" x14ac:dyDescent="0.15">
      <c r="A15" t="s">
        <v>81</v>
      </c>
      <c r="B15" s="23">
        <v>0.3</v>
      </c>
      <c r="C15" s="23"/>
      <c r="D15" s="23">
        <v>0.42</v>
      </c>
      <c r="E15" s="23"/>
      <c r="F15" s="23">
        <v>0.27</v>
      </c>
      <c r="G15" s="23"/>
      <c r="H15" s="23"/>
      <c r="I15" s="31">
        <v>0</v>
      </c>
      <c r="J15" s="77">
        <v>0.3</v>
      </c>
      <c r="K15" s="36"/>
    </row>
    <row r="16" spans="1:11" x14ac:dyDescent="0.15">
      <c r="A16" t="s">
        <v>87</v>
      </c>
      <c r="B16" s="23">
        <v>0.39</v>
      </c>
      <c r="C16" s="23">
        <v>0.06</v>
      </c>
      <c r="D16" s="23">
        <v>0.33</v>
      </c>
      <c r="E16" s="23">
        <v>0.15</v>
      </c>
      <c r="F16" s="23">
        <v>7.0000000000000007E-2</v>
      </c>
      <c r="G16" s="23"/>
      <c r="H16" s="23"/>
      <c r="I16" s="31">
        <v>0</v>
      </c>
      <c r="J16" s="77">
        <v>0.39</v>
      </c>
      <c r="K16" s="36"/>
    </row>
    <row r="17" spans="1:11" x14ac:dyDescent="0.15">
      <c r="A17" t="s">
        <v>84</v>
      </c>
      <c r="B17" s="23">
        <v>0.4</v>
      </c>
      <c r="C17" s="23">
        <v>0.06</v>
      </c>
      <c r="D17" s="23">
        <v>0.32</v>
      </c>
      <c r="E17" s="23">
        <v>0.16</v>
      </c>
      <c r="F17" s="23">
        <v>0.06</v>
      </c>
      <c r="G17" s="23"/>
      <c r="H17" s="23"/>
      <c r="I17" s="31">
        <v>0</v>
      </c>
      <c r="J17" s="77">
        <v>0.4</v>
      </c>
      <c r="K17" s="36"/>
    </row>
    <row r="18" spans="1:11" x14ac:dyDescent="0.15">
      <c r="A18" t="s">
        <v>78</v>
      </c>
      <c r="B18" s="23">
        <v>0.34</v>
      </c>
      <c r="C18" s="23"/>
      <c r="D18" s="23">
        <v>0.37</v>
      </c>
      <c r="E18" s="23"/>
      <c r="F18" s="23">
        <v>0.28000000000000003</v>
      </c>
      <c r="G18" s="23"/>
      <c r="H18" s="23"/>
      <c r="I18" s="31">
        <v>0</v>
      </c>
      <c r="J18" s="77">
        <v>0.34</v>
      </c>
      <c r="K18" s="36"/>
    </row>
    <row r="19" spans="1:11" x14ac:dyDescent="0.15">
      <c r="A19" t="s">
        <v>82</v>
      </c>
      <c r="B19" s="23">
        <v>0.41</v>
      </c>
      <c r="C19" s="23">
        <v>0.06</v>
      </c>
      <c r="D19" s="23">
        <v>0.3</v>
      </c>
      <c r="E19" s="23">
        <v>0.17</v>
      </c>
      <c r="F19" s="23">
        <v>0.05</v>
      </c>
      <c r="G19" s="23"/>
      <c r="H19" s="23"/>
      <c r="I19" s="31">
        <v>0</v>
      </c>
      <c r="J19" s="77">
        <v>0.41</v>
      </c>
      <c r="K19" s="36"/>
    </row>
    <row r="20" spans="1:11" x14ac:dyDescent="0.15">
      <c r="A20" t="s">
        <v>90</v>
      </c>
      <c r="B20" s="23">
        <v>0.3</v>
      </c>
      <c r="C20" s="23"/>
      <c r="D20" s="23">
        <v>0.42</v>
      </c>
      <c r="E20" s="23"/>
      <c r="F20" s="23">
        <v>0.27</v>
      </c>
      <c r="G20" s="23"/>
      <c r="H20" s="23"/>
      <c r="I20" s="31">
        <v>0</v>
      </c>
      <c r="J20" s="77">
        <v>0.3</v>
      </c>
      <c r="K20" s="36"/>
    </row>
    <row r="21" spans="1:11" x14ac:dyDescent="0.15">
      <c r="A21" t="s">
        <v>79</v>
      </c>
      <c r="B21" s="23">
        <v>0.25</v>
      </c>
      <c r="C21" s="23"/>
      <c r="D21" s="23">
        <v>0.45</v>
      </c>
      <c r="E21" s="23"/>
      <c r="F21" s="23">
        <v>0.28999999999999998</v>
      </c>
      <c r="G21" s="23"/>
      <c r="H21" s="23"/>
      <c r="I21" s="31">
        <v>0</v>
      </c>
      <c r="J21" s="77">
        <v>0.25</v>
      </c>
      <c r="K21" s="36"/>
    </row>
    <row r="22" spans="1:11" x14ac:dyDescent="0.15">
      <c r="A22" t="s">
        <v>86</v>
      </c>
      <c r="B22" s="23">
        <v>0.4</v>
      </c>
      <c r="C22" s="23">
        <v>0.06</v>
      </c>
      <c r="D22" s="23">
        <v>0.34</v>
      </c>
      <c r="E22" s="23">
        <v>0.2</v>
      </c>
      <c r="F22" s="23"/>
      <c r="G22" s="23"/>
      <c r="H22" s="23"/>
      <c r="I22" s="31">
        <v>0</v>
      </c>
      <c r="J22" s="77">
        <v>0.4</v>
      </c>
      <c r="K22" s="36"/>
    </row>
    <row r="23" spans="1:11" x14ac:dyDescent="0.15">
      <c r="A23" t="s">
        <v>34</v>
      </c>
      <c r="B23" s="23">
        <v>3.5000000000000003E-2</v>
      </c>
      <c r="C23" s="23"/>
      <c r="D23" s="23"/>
      <c r="E23" s="23"/>
      <c r="F23" s="23"/>
      <c r="G23" s="23">
        <v>5.5E-2</v>
      </c>
      <c r="H23" s="23">
        <v>0.91</v>
      </c>
      <c r="I23" s="31">
        <v>0</v>
      </c>
      <c r="J23" s="77">
        <v>3.5000000000000003E-2</v>
      </c>
      <c r="K23" s="36"/>
    </row>
    <row r="24" spans="1:11" x14ac:dyDescent="0.15">
      <c r="A24" t="s">
        <v>116</v>
      </c>
      <c r="B24" s="23"/>
      <c r="C24" s="23">
        <v>0.99</v>
      </c>
      <c r="D24" s="23"/>
      <c r="E24" s="23"/>
      <c r="F24" s="23"/>
      <c r="G24" s="23"/>
      <c r="H24" s="23">
        <v>0.01</v>
      </c>
      <c r="I24" s="31">
        <v>0</v>
      </c>
    </row>
    <row r="25" spans="1:11" x14ac:dyDescent="0.15">
      <c r="A25" t="s">
        <v>6</v>
      </c>
      <c r="B25" s="23"/>
      <c r="C25" s="23">
        <v>0.98</v>
      </c>
      <c r="D25" s="23"/>
      <c r="E25" s="23">
        <v>0.02</v>
      </c>
      <c r="F25" s="23"/>
      <c r="G25" s="23"/>
      <c r="H25" s="23"/>
      <c r="I25" s="31">
        <v>0</v>
      </c>
    </row>
    <row r="26" spans="1:11" x14ac:dyDescent="0.15">
      <c r="A26" t="s">
        <v>7</v>
      </c>
      <c r="B26" s="23"/>
      <c r="C26" s="23"/>
      <c r="D26" s="23">
        <v>1</v>
      </c>
      <c r="E26" s="23"/>
      <c r="F26" s="23"/>
      <c r="G26" s="23"/>
      <c r="H26" s="23"/>
      <c r="I26" s="31">
        <v>0</v>
      </c>
    </row>
    <row r="27" spans="1:11" x14ac:dyDescent="0.15">
      <c r="A27" t="s">
        <v>8</v>
      </c>
      <c r="B27" s="23"/>
      <c r="C27" s="23">
        <v>0.82</v>
      </c>
      <c r="D27" s="23"/>
      <c r="E27" s="23">
        <v>0.02</v>
      </c>
      <c r="F27" s="23"/>
      <c r="G27" s="23"/>
      <c r="H27" s="23">
        <v>0.16</v>
      </c>
      <c r="I27" s="31">
        <v>0</v>
      </c>
    </row>
    <row r="28" spans="1:11" x14ac:dyDescent="0.15">
      <c r="A28" t="s">
        <v>33</v>
      </c>
      <c r="B28" s="23">
        <v>0.43</v>
      </c>
      <c r="C28" s="23"/>
      <c r="D28" s="23">
        <v>0.39</v>
      </c>
      <c r="E28" s="23"/>
      <c r="F28" s="23">
        <v>0.18</v>
      </c>
      <c r="G28" s="23"/>
      <c r="H28" s="23"/>
      <c r="I28" s="31">
        <v>0</v>
      </c>
      <c r="J28" s="77">
        <v>0.43</v>
      </c>
    </row>
    <row r="29" spans="1:11" x14ac:dyDescent="0.15">
      <c r="A29" t="s">
        <v>9</v>
      </c>
      <c r="B29" s="23">
        <v>0.38</v>
      </c>
      <c r="C29" s="23"/>
      <c r="D29" s="23">
        <v>0.38800000000000001</v>
      </c>
      <c r="E29" s="23"/>
      <c r="F29" s="23">
        <v>0.23200000000000001</v>
      </c>
      <c r="G29" s="23"/>
      <c r="H29" s="23"/>
      <c r="I29" s="31">
        <v>0</v>
      </c>
      <c r="J29" s="77">
        <v>0.38</v>
      </c>
    </row>
    <row r="30" spans="1:11" x14ac:dyDescent="0.15">
      <c r="A30" t="s">
        <v>10</v>
      </c>
      <c r="B30" s="23">
        <v>0.26500000000000001</v>
      </c>
      <c r="C30" s="23"/>
      <c r="D30" s="23">
        <v>0.38700000000000001</v>
      </c>
      <c r="E30" s="23"/>
      <c r="F30" s="23">
        <v>0.34</v>
      </c>
      <c r="G30" s="23"/>
      <c r="H30" s="23"/>
      <c r="I30" s="31">
        <v>0</v>
      </c>
      <c r="J30" s="77">
        <v>0.26500000000000001</v>
      </c>
    </row>
    <row r="31" spans="1:11" x14ac:dyDescent="0.15">
      <c r="A31" t="s">
        <v>11</v>
      </c>
      <c r="B31" s="23">
        <v>0.44</v>
      </c>
      <c r="C31" s="23"/>
      <c r="D31" s="23">
        <v>0.35299999999999998</v>
      </c>
      <c r="E31" s="23"/>
      <c r="F31" s="23">
        <v>0.185</v>
      </c>
      <c r="G31" s="23"/>
      <c r="H31" s="23"/>
      <c r="I31" s="31">
        <v>0</v>
      </c>
      <c r="J31" s="77">
        <v>0.44</v>
      </c>
    </row>
    <row r="32" spans="1:11" x14ac:dyDescent="0.15">
      <c r="A32" t="s">
        <v>14</v>
      </c>
      <c r="B32" s="23">
        <v>0.42</v>
      </c>
      <c r="C32" s="23">
        <v>0.06</v>
      </c>
      <c r="D32" s="23">
        <v>0.3</v>
      </c>
      <c r="E32" s="23">
        <v>0.16500000000000001</v>
      </c>
      <c r="F32" s="23">
        <v>0.03</v>
      </c>
      <c r="G32" s="23"/>
      <c r="H32" s="23"/>
      <c r="I32" s="31">
        <v>0</v>
      </c>
      <c r="J32" s="77">
        <v>0.42</v>
      </c>
    </row>
    <row r="33" spans="1:10" x14ac:dyDescent="0.15">
      <c r="A33" t="s">
        <v>22</v>
      </c>
      <c r="B33" s="23">
        <v>0.32800000000000001</v>
      </c>
      <c r="C33" s="23">
        <v>6.3E-2</v>
      </c>
      <c r="D33" s="23">
        <v>0.26200000000000001</v>
      </c>
      <c r="E33" s="23">
        <v>0.214</v>
      </c>
      <c r="F33" s="23">
        <v>6.6000000000000003E-2</v>
      </c>
      <c r="G33" s="23"/>
      <c r="H33" s="23"/>
      <c r="I33" s="31">
        <v>0</v>
      </c>
      <c r="J33" s="77">
        <v>0.32800000000000001</v>
      </c>
    </row>
    <row r="34" spans="1:10" x14ac:dyDescent="0.15">
      <c r="A34" t="s">
        <v>15</v>
      </c>
      <c r="B34" s="23"/>
      <c r="C34" s="23"/>
      <c r="D34" s="23">
        <v>0.55000000000000004</v>
      </c>
      <c r="E34" s="23"/>
      <c r="F34" s="23">
        <v>0.45</v>
      </c>
      <c r="G34" s="23"/>
      <c r="H34" s="23"/>
      <c r="I34" s="31">
        <v>0</v>
      </c>
    </row>
    <row r="35" spans="1:10" x14ac:dyDescent="0.15">
      <c r="A35" t="s">
        <v>19</v>
      </c>
      <c r="B35" s="23">
        <v>0.26500000000000001</v>
      </c>
      <c r="C35" s="23"/>
      <c r="D35" s="23">
        <v>0.41399999999999998</v>
      </c>
      <c r="E35" s="23"/>
      <c r="F35" s="23">
        <v>0.31</v>
      </c>
      <c r="G35" s="23"/>
      <c r="H35" s="23"/>
      <c r="I35" s="31">
        <v>0</v>
      </c>
      <c r="J35" s="77">
        <v>0.26500000000000001</v>
      </c>
    </row>
    <row r="36" spans="1:10" x14ac:dyDescent="0.15">
      <c r="A36" t="s">
        <v>20</v>
      </c>
      <c r="B36" s="23">
        <v>0.29499999999999998</v>
      </c>
      <c r="C36" s="23"/>
      <c r="D36" s="23">
        <v>0.39700000000000002</v>
      </c>
      <c r="E36" s="23"/>
      <c r="F36" s="23">
        <v>0.27800000000000002</v>
      </c>
      <c r="G36" s="23"/>
      <c r="H36" s="23"/>
      <c r="I36" s="31">
        <v>0</v>
      </c>
      <c r="J36" s="77">
        <v>0.29499999999999998</v>
      </c>
    </row>
    <row r="37" spans="1:10" x14ac:dyDescent="0.15">
      <c r="A37" t="s">
        <v>21</v>
      </c>
      <c r="B37" s="23">
        <v>0.27</v>
      </c>
      <c r="C37" s="23"/>
      <c r="D37" s="23">
        <v>0.38</v>
      </c>
      <c r="E37" s="23"/>
      <c r="F37" s="23">
        <v>0.28999999999999998</v>
      </c>
      <c r="G37" s="23"/>
      <c r="H37" s="23"/>
      <c r="I37" s="31">
        <v>0</v>
      </c>
      <c r="J37" s="77">
        <v>0.27</v>
      </c>
    </row>
    <row r="38" spans="1:10" x14ac:dyDescent="0.15">
      <c r="A38" t="s">
        <v>12</v>
      </c>
      <c r="B38" s="23">
        <v>0.41499999999999998</v>
      </c>
      <c r="C38" s="23">
        <v>6.5000000000000002E-2</v>
      </c>
      <c r="D38" s="23">
        <v>0.34499999999999997</v>
      </c>
      <c r="E38" s="23">
        <v>0.17499999999999999</v>
      </c>
      <c r="F38" s="23"/>
      <c r="G38" s="23"/>
      <c r="H38" s="23"/>
      <c r="I38" s="31">
        <v>0</v>
      </c>
      <c r="J38" s="77">
        <v>0.41499999999999998</v>
      </c>
    </row>
    <row r="39" spans="1:10" x14ac:dyDescent="0.15">
      <c r="A39" t="s">
        <v>13</v>
      </c>
      <c r="B39" s="23">
        <v>0.46500000000000002</v>
      </c>
      <c r="C39" s="23">
        <v>0.06</v>
      </c>
      <c r="D39" s="23">
        <v>0.29499999999999998</v>
      </c>
      <c r="E39" s="23">
        <v>0.17499999999999999</v>
      </c>
      <c r="F39" s="23"/>
      <c r="G39" s="23"/>
      <c r="H39" s="23"/>
      <c r="I39" s="31">
        <v>0</v>
      </c>
      <c r="J39" s="77">
        <v>0.46500000000000002</v>
      </c>
    </row>
    <row r="40" spans="1:10" x14ac:dyDescent="0.15">
      <c r="A40" t="s">
        <v>16</v>
      </c>
      <c r="B40" s="23">
        <v>5.0000000000000001E-3</v>
      </c>
      <c r="C40" s="23">
        <v>0.35</v>
      </c>
      <c r="D40" s="23"/>
      <c r="E40" s="23">
        <v>2.5000000000000001E-2</v>
      </c>
      <c r="F40" s="23"/>
      <c r="G40" s="23"/>
      <c r="H40" s="23">
        <v>0.62</v>
      </c>
      <c r="I40" s="31">
        <v>0</v>
      </c>
    </row>
    <row r="41" spans="1:10" x14ac:dyDescent="0.15">
      <c r="A41" t="s">
        <v>89</v>
      </c>
      <c r="B41" s="23">
        <v>5.0000000000000001E-3</v>
      </c>
      <c r="C41" s="23">
        <v>0.38</v>
      </c>
      <c r="D41" s="23"/>
      <c r="E41" s="23">
        <v>2.5000000000000001E-2</v>
      </c>
      <c r="F41" s="23"/>
      <c r="G41" s="23"/>
      <c r="H41" s="23">
        <v>0.59</v>
      </c>
      <c r="I41" s="31">
        <v>0</v>
      </c>
    </row>
    <row r="42" spans="1:10" x14ac:dyDescent="0.15">
      <c r="A42" t="s">
        <v>117</v>
      </c>
      <c r="B42" s="23">
        <v>0.17100000000000001</v>
      </c>
      <c r="C42" s="23"/>
      <c r="D42" s="23"/>
      <c r="E42" s="23"/>
      <c r="F42" s="23"/>
      <c r="G42" s="23"/>
      <c r="H42" s="23">
        <v>0.77500000000000002</v>
      </c>
      <c r="I42" s="31">
        <v>0</v>
      </c>
      <c r="J42" s="77">
        <v>0.17</v>
      </c>
    </row>
    <row r="43" spans="1:10" x14ac:dyDescent="0.15">
      <c r="A43" t="s">
        <v>118</v>
      </c>
      <c r="B43" s="23"/>
      <c r="C43" s="23"/>
      <c r="D43" s="23"/>
      <c r="E43" s="23"/>
      <c r="F43" s="23"/>
      <c r="G43" s="23">
        <v>0.08</v>
      </c>
      <c r="H43" s="23">
        <v>0.92</v>
      </c>
      <c r="I43" s="31">
        <v>0</v>
      </c>
    </row>
    <row r="44" spans="1:10" x14ac:dyDescent="0.15">
      <c r="A44" t="s">
        <v>119</v>
      </c>
      <c r="B44" s="23">
        <v>0.17199999999999999</v>
      </c>
      <c r="C44" s="23"/>
      <c r="D44" s="23"/>
      <c r="E44" s="23"/>
      <c r="F44" s="23"/>
      <c r="G44" s="23"/>
      <c r="H44" s="23">
        <v>0.77700000000000002</v>
      </c>
      <c r="I44" s="31">
        <v>0</v>
      </c>
      <c r="J44" s="77">
        <v>0.17199999999999999</v>
      </c>
    </row>
    <row r="45" spans="1:10" x14ac:dyDescent="0.15">
      <c r="A45" t="s">
        <v>120</v>
      </c>
      <c r="B45" s="23">
        <v>0.17</v>
      </c>
      <c r="C45" s="23"/>
      <c r="D45" s="23"/>
      <c r="E45" s="23"/>
      <c r="F45" s="23"/>
      <c r="G45" s="23"/>
      <c r="H45" s="23">
        <v>0.751</v>
      </c>
      <c r="I45" s="31">
        <v>0</v>
      </c>
      <c r="J45" s="77">
        <v>0.17</v>
      </c>
    </row>
    <row r="46" spans="1:10" x14ac:dyDescent="0.15">
      <c r="A46" t="s">
        <v>121</v>
      </c>
      <c r="B46" s="23">
        <v>0.09</v>
      </c>
      <c r="C46" s="23"/>
      <c r="D46" s="23"/>
      <c r="E46" s="23"/>
      <c r="F46" s="23"/>
      <c r="G46" s="23"/>
      <c r="H46" s="23">
        <v>0.87</v>
      </c>
      <c r="I46" s="31">
        <v>0</v>
      </c>
      <c r="J46" s="77">
        <v>0.09</v>
      </c>
    </row>
    <row r="47" spans="1:10" x14ac:dyDescent="0.15">
      <c r="A47" t="s">
        <v>122</v>
      </c>
      <c r="B47" s="23">
        <v>0.158</v>
      </c>
      <c r="C47" s="23"/>
      <c r="D47" s="23"/>
      <c r="E47" s="23"/>
      <c r="F47" s="23"/>
      <c r="G47" s="23"/>
      <c r="H47" s="23">
        <v>0.69699999999999995</v>
      </c>
      <c r="I47" s="31">
        <v>0</v>
      </c>
      <c r="J47" s="77">
        <v>0.158</v>
      </c>
    </row>
    <row r="48" spans="1:10" x14ac:dyDescent="0.15">
      <c r="A48" t="s">
        <v>123</v>
      </c>
      <c r="B48" s="23">
        <v>0.21099999999999999</v>
      </c>
      <c r="C48" s="23"/>
      <c r="D48" s="23"/>
      <c r="E48" s="23"/>
      <c r="F48" s="23"/>
      <c r="G48" s="23"/>
      <c r="H48" s="23">
        <v>0.73099999999999998</v>
      </c>
      <c r="I48" s="31">
        <v>0</v>
      </c>
      <c r="J48" s="77">
        <v>0.21099999999999999</v>
      </c>
    </row>
    <row r="49" spans="1:10" x14ac:dyDescent="0.15">
      <c r="A49" t="s">
        <v>124</v>
      </c>
      <c r="B49" s="23">
        <v>0.22</v>
      </c>
      <c r="C49" s="23">
        <v>0.246</v>
      </c>
      <c r="D49" s="23"/>
      <c r="E49" s="23"/>
      <c r="F49" s="23"/>
      <c r="G49" s="23">
        <v>0.27</v>
      </c>
      <c r="H49" s="23">
        <v>0.50700000000000001</v>
      </c>
      <c r="I49" s="31">
        <v>0</v>
      </c>
      <c r="J49" s="77">
        <v>0.22</v>
      </c>
    </row>
    <row r="50" spans="1:10" x14ac:dyDescent="0.15">
      <c r="A50" t="s">
        <v>125</v>
      </c>
      <c r="B50" s="23">
        <v>0.21</v>
      </c>
      <c r="C50" s="23"/>
      <c r="D50" s="23"/>
      <c r="E50" s="23"/>
      <c r="F50" s="23"/>
      <c r="G50" s="23"/>
      <c r="H50" s="23">
        <v>0.73699999999999999</v>
      </c>
      <c r="I50" s="31">
        <v>0</v>
      </c>
      <c r="J50" s="77">
        <v>0.21</v>
      </c>
    </row>
    <row r="51" spans="1:10" x14ac:dyDescent="0.15">
      <c r="A51" t="s">
        <v>126</v>
      </c>
      <c r="B51" s="23">
        <v>0.18</v>
      </c>
      <c r="C51" s="23"/>
      <c r="D51" s="23"/>
      <c r="E51" s="23"/>
      <c r="F51" s="23"/>
      <c r="G51" s="23"/>
      <c r="H51" s="23">
        <v>0.81</v>
      </c>
      <c r="I51" s="31">
        <v>0</v>
      </c>
      <c r="J51" s="77">
        <v>0.18</v>
      </c>
    </row>
    <row r="52" spans="1:10" x14ac:dyDescent="0.15">
      <c r="A52" t="s">
        <v>127</v>
      </c>
      <c r="B52" s="23">
        <v>8.8999999999999996E-2</v>
      </c>
      <c r="C52" s="23"/>
      <c r="D52" s="23"/>
      <c r="E52" s="23"/>
      <c r="F52" s="23"/>
      <c r="G52" s="23"/>
      <c r="H52" s="23">
        <v>0.83299999999999996</v>
      </c>
      <c r="I52" s="31">
        <v>0</v>
      </c>
      <c r="J52" s="77">
        <v>8.8999999999999996E-2</v>
      </c>
    </row>
    <row r="53" spans="1:10" x14ac:dyDescent="0.15">
      <c r="A53" t="s">
        <v>128</v>
      </c>
      <c r="B53" s="23">
        <v>0.20399999999999999</v>
      </c>
      <c r="C53" s="23"/>
      <c r="D53" s="23"/>
      <c r="E53" s="23"/>
      <c r="F53" s="23"/>
      <c r="G53" s="23"/>
      <c r="H53" s="23">
        <v>0.85599999999999998</v>
      </c>
      <c r="I53" s="31">
        <v>0</v>
      </c>
      <c r="J53" s="77">
        <v>0.20399999999999999</v>
      </c>
    </row>
    <row r="54" spans="1:10" x14ac:dyDescent="0.15">
      <c r="A54" t="s">
        <v>129</v>
      </c>
      <c r="B54" s="23">
        <v>0.14000000000000001</v>
      </c>
      <c r="C54" s="23">
        <v>0.01</v>
      </c>
      <c r="D54" s="23"/>
      <c r="E54" s="23"/>
      <c r="F54" s="23"/>
      <c r="G54" s="23">
        <v>0.15</v>
      </c>
      <c r="H54" s="23">
        <v>0.7</v>
      </c>
      <c r="I54" s="31">
        <v>0</v>
      </c>
      <c r="J54" s="77">
        <v>0.14000000000000001</v>
      </c>
    </row>
    <row r="55" spans="1:10" x14ac:dyDescent="0.15">
      <c r="A55" t="s">
        <v>130</v>
      </c>
      <c r="B55" s="23">
        <v>0.215</v>
      </c>
      <c r="C55" s="23"/>
      <c r="D55" s="23"/>
      <c r="E55" s="23"/>
      <c r="F55" s="23"/>
      <c r="G55" s="23"/>
      <c r="H55" s="23">
        <v>0.72</v>
      </c>
      <c r="I55" s="31">
        <v>0</v>
      </c>
      <c r="J55" s="77">
        <v>0.21</v>
      </c>
    </row>
    <row r="56" spans="1:10" x14ac:dyDescent="0.15">
      <c r="A56" t="s">
        <v>131</v>
      </c>
      <c r="B56" s="23">
        <v>0.153</v>
      </c>
      <c r="C56" s="23"/>
      <c r="D56" s="23"/>
      <c r="E56" s="23"/>
      <c r="F56" s="23"/>
      <c r="G56" s="23">
        <v>9.9000000000000005E-2</v>
      </c>
      <c r="H56" s="23">
        <v>0.748</v>
      </c>
      <c r="I56" s="31">
        <v>0</v>
      </c>
      <c r="J56" s="77">
        <v>0.153</v>
      </c>
    </row>
    <row r="57" spans="1:10" x14ac:dyDescent="0.15">
      <c r="A57" t="s">
        <v>132</v>
      </c>
      <c r="B57" s="23">
        <v>0.193</v>
      </c>
      <c r="C57" s="23"/>
      <c r="D57" s="23"/>
      <c r="E57" s="23"/>
      <c r="F57" s="23"/>
      <c r="G57" s="23"/>
      <c r="H57" s="23">
        <v>0.76600000000000001</v>
      </c>
      <c r="I57" s="31">
        <v>0</v>
      </c>
      <c r="J57" s="77">
        <v>0.193</v>
      </c>
    </row>
    <row r="58" spans="1:10" x14ac:dyDescent="0.15">
      <c r="A58" t="s">
        <v>133</v>
      </c>
      <c r="B58" s="23">
        <v>0.1</v>
      </c>
      <c r="C58" s="23"/>
      <c r="D58" s="23"/>
      <c r="E58" s="23"/>
      <c r="F58" s="23"/>
      <c r="G58" s="23">
        <v>0.13500000000000001</v>
      </c>
      <c r="H58" s="23">
        <v>0.76500000000000001</v>
      </c>
      <c r="I58" s="31">
        <v>0</v>
      </c>
      <c r="J58" s="77">
        <v>0.1</v>
      </c>
    </row>
    <row r="59" spans="1:10" x14ac:dyDescent="0.15">
      <c r="A59" t="s">
        <v>134</v>
      </c>
      <c r="B59" s="23">
        <v>0.20100000000000001</v>
      </c>
      <c r="C59" s="23"/>
      <c r="D59" s="23"/>
      <c r="E59" s="23"/>
      <c r="F59" s="23"/>
      <c r="G59" s="23"/>
      <c r="H59" s="23">
        <v>0.76800000000000002</v>
      </c>
      <c r="I59" s="31">
        <v>0</v>
      </c>
      <c r="J59" s="77">
        <v>0.20100000000000001</v>
      </c>
    </row>
    <row r="60" spans="1:10" x14ac:dyDescent="0.15">
      <c r="A60" t="s">
        <v>135</v>
      </c>
      <c r="B60" s="23">
        <v>0.13700000000000001</v>
      </c>
      <c r="C60" s="23"/>
      <c r="D60" s="23"/>
      <c r="E60" s="23"/>
      <c r="F60" s="23"/>
      <c r="G60" s="23"/>
      <c r="H60" s="23">
        <v>0.76300000000000001</v>
      </c>
      <c r="I60" s="31">
        <v>0</v>
      </c>
      <c r="J60" s="77">
        <v>0.13700000000000001</v>
      </c>
    </row>
    <row r="61" spans="1:10" ht="12" customHeight="1" x14ac:dyDescent="0.15">
      <c r="A61" t="s">
        <v>136</v>
      </c>
      <c r="B61" s="23">
        <v>0.13500000000000001</v>
      </c>
      <c r="C61" s="23"/>
      <c r="D61" s="23"/>
      <c r="E61" s="23"/>
      <c r="F61" s="23"/>
      <c r="G61" s="23"/>
      <c r="H61" s="23">
        <v>0.82499999999999996</v>
      </c>
      <c r="I61" s="31">
        <v>0</v>
      </c>
      <c r="J61" s="77">
        <v>0.13500000000000001</v>
      </c>
    </row>
    <row r="62" spans="1:10" x14ac:dyDescent="0.15">
      <c r="A62" t="s">
        <v>137</v>
      </c>
      <c r="B62" s="23">
        <v>0.2</v>
      </c>
      <c r="C62" s="23"/>
      <c r="D62" s="23"/>
      <c r="E62" s="23"/>
      <c r="F62" s="23"/>
      <c r="G62" s="23"/>
      <c r="H62" s="23">
        <v>0.79200000000000004</v>
      </c>
      <c r="I62" s="31">
        <v>0</v>
      </c>
      <c r="J62" s="77">
        <v>0.2</v>
      </c>
    </row>
    <row r="63" spans="1:10" x14ac:dyDescent="0.15">
      <c r="A63" t="s">
        <v>138</v>
      </c>
      <c r="B63" s="23">
        <v>0.13500000000000001</v>
      </c>
      <c r="C63" s="23"/>
      <c r="D63" s="23"/>
      <c r="E63" s="23"/>
      <c r="F63" s="23"/>
      <c r="G63" s="23"/>
      <c r="H63" s="23">
        <v>0.82499999999999996</v>
      </c>
      <c r="I63" s="31">
        <v>0</v>
      </c>
      <c r="J63" s="77">
        <v>0.13500000000000001</v>
      </c>
    </row>
    <row r="64" spans="1:10" x14ac:dyDescent="0.15">
      <c r="A64" t="s">
        <v>139</v>
      </c>
      <c r="B64" s="23">
        <v>6.0000000000000001E-3</v>
      </c>
      <c r="C64" s="23"/>
      <c r="D64" s="23"/>
      <c r="E64" s="23"/>
      <c r="F64" s="23"/>
      <c r="G64" s="23"/>
      <c r="H64" s="23">
        <v>0.98</v>
      </c>
      <c r="I64" s="31">
        <v>0</v>
      </c>
      <c r="J64" s="77">
        <v>6.0000000000000001E-3</v>
      </c>
    </row>
    <row r="65" spans="1:10" x14ac:dyDescent="0.15">
      <c r="A65" t="s">
        <v>140</v>
      </c>
      <c r="B65" s="23">
        <v>0.17599999999999999</v>
      </c>
      <c r="C65" s="23"/>
      <c r="D65" s="23"/>
      <c r="E65" s="23"/>
      <c r="F65" s="23"/>
      <c r="G65" s="23"/>
      <c r="H65" s="23">
        <v>0.8</v>
      </c>
      <c r="I65" s="31">
        <v>0</v>
      </c>
      <c r="J65" s="77">
        <v>0.17599999999999999</v>
      </c>
    </row>
    <row r="66" spans="1:10" x14ac:dyDescent="0.15">
      <c r="A66" t="s">
        <v>17</v>
      </c>
      <c r="B66" s="23"/>
      <c r="C66" s="23">
        <v>0.3</v>
      </c>
      <c r="D66" s="23"/>
      <c r="E66" s="23"/>
      <c r="F66" s="23"/>
      <c r="G66" s="23"/>
      <c r="H66" s="23"/>
      <c r="I66" s="31">
        <v>0</v>
      </c>
    </row>
    <row r="67" spans="1:10" x14ac:dyDescent="0.15">
      <c r="A67" t="s">
        <v>18</v>
      </c>
      <c r="B67" s="23">
        <v>3.0000000000000001E-3</v>
      </c>
      <c r="C67" s="23">
        <v>0.42</v>
      </c>
      <c r="D67" s="23"/>
      <c r="E67" s="23">
        <v>9.2999999999999999E-2</v>
      </c>
      <c r="F67" s="23"/>
      <c r="G67" s="23"/>
      <c r="H67" s="23">
        <v>0.48499999999999999</v>
      </c>
      <c r="I67" s="31">
        <v>0</v>
      </c>
    </row>
    <row r="68" spans="1:10" x14ac:dyDescent="0.15">
      <c r="A68" t="s">
        <v>46</v>
      </c>
      <c r="B68" s="23"/>
      <c r="C68" s="23">
        <v>3.5000000000000003E-2</v>
      </c>
      <c r="D68" s="23"/>
      <c r="E68" s="23">
        <v>0.09</v>
      </c>
      <c r="F68" s="23"/>
      <c r="G68" s="23"/>
      <c r="H68" s="23">
        <v>0.87</v>
      </c>
      <c r="I68" s="31">
        <v>0</v>
      </c>
    </row>
    <row r="69" spans="1:10" x14ac:dyDescent="0.15">
      <c r="A69" t="s">
        <v>93</v>
      </c>
      <c r="B69" s="23"/>
      <c r="C69" s="23">
        <v>0.999</v>
      </c>
      <c r="D69" s="23"/>
      <c r="E69" s="23"/>
      <c r="F69" s="23"/>
      <c r="G69" s="23"/>
      <c r="H69" s="23"/>
      <c r="I69" s="31">
        <v>0</v>
      </c>
    </row>
    <row r="70" spans="1:10" x14ac:dyDescent="0.15">
      <c r="A70" t="s">
        <v>36</v>
      </c>
      <c r="B70" s="23">
        <v>0.36</v>
      </c>
      <c r="C70" s="23"/>
      <c r="D70" s="23">
        <v>0.32500000000000001</v>
      </c>
      <c r="E70" s="23">
        <v>0.20499999999999999</v>
      </c>
      <c r="F70" s="23">
        <v>0.1</v>
      </c>
      <c r="G70" s="23">
        <v>0.01</v>
      </c>
      <c r="H70" s="23"/>
      <c r="I70" s="31">
        <v>0</v>
      </c>
      <c r="J70" s="77">
        <v>0.36</v>
      </c>
    </row>
    <row r="71" spans="1:10" x14ac:dyDescent="0.15">
      <c r="A71" t="s">
        <v>103</v>
      </c>
      <c r="B71" s="23">
        <v>0.49</v>
      </c>
      <c r="C71" s="23">
        <v>0.315</v>
      </c>
      <c r="D71" s="23"/>
      <c r="E71" s="23"/>
      <c r="F71" s="23"/>
      <c r="G71" s="23">
        <v>0.17499999999999999</v>
      </c>
      <c r="H71" s="23"/>
      <c r="I71" s="31">
        <v>0</v>
      </c>
      <c r="J71" s="77">
        <v>0.49</v>
      </c>
    </row>
    <row r="72" spans="1:10" x14ac:dyDescent="0.15">
      <c r="A72" t="s">
        <v>102</v>
      </c>
      <c r="B72" s="23"/>
      <c r="C72" s="23">
        <v>0.55000000000000004</v>
      </c>
      <c r="D72" s="23"/>
      <c r="E72" s="23"/>
      <c r="F72" s="23"/>
      <c r="G72" s="23">
        <v>0.45</v>
      </c>
      <c r="H72" s="23"/>
      <c r="I72" s="31">
        <v>0</v>
      </c>
    </row>
    <row r="73" spans="1:10" x14ac:dyDescent="0.15">
      <c r="A73" t="s">
        <v>23</v>
      </c>
      <c r="B73" s="23"/>
      <c r="C73" s="23">
        <v>0.63</v>
      </c>
      <c r="D73" s="23"/>
      <c r="E73" s="23"/>
      <c r="F73" s="23"/>
      <c r="G73" s="23">
        <v>0.37</v>
      </c>
      <c r="H73" s="23"/>
      <c r="I73" s="31">
        <v>0</v>
      </c>
    </row>
    <row r="74" spans="1:10" x14ac:dyDescent="0.15">
      <c r="A74" t="s">
        <v>24</v>
      </c>
      <c r="B74" s="23"/>
      <c r="C74" s="23">
        <v>0.74</v>
      </c>
      <c r="D74" s="23"/>
      <c r="E74" s="23"/>
      <c r="F74" s="23"/>
      <c r="G74" s="23">
        <v>0.26</v>
      </c>
      <c r="H74" s="23"/>
      <c r="I74" s="31">
        <v>0</v>
      </c>
    </row>
    <row r="75" spans="1:10" x14ac:dyDescent="0.15">
      <c r="A75" t="s">
        <v>25</v>
      </c>
      <c r="B75" s="23"/>
      <c r="C75" s="23">
        <v>0.53200000000000003</v>
      </c>
      <c r="D75" s="23"/>
      <c r="E75" s="23"/>
      <c r="F75" s="23"/>
      <c r="G75" s="23">
        <v>0.46</v>
      </c>
      <c r="H75" s="23"/>
      <c r="I75" s="31">
        <v>0</v>
      </c>
    </row>
    <row r="76" spans="1:10" x14ac:dyDescent="0.15">
      <c r="A76" t="s">
        <v>35</v>
      </c>
      <c r="B76" s="23"/>
      <c r="C76" s="23"/>
      <c r="D76" s="23"/>
      <c r="E76" s="23"/>
      <c r="F76" s="23"/>
      <c r="G76" s="23">
        <v>1</v>
      </c>
      <c r="H76" s="23"/>
      <c r="I76" s="31">
        <v>0</v>
      </c>
    </row>
    <row r="77" spans="1:10" x14ac:dyDescent="0.15">
      <c r="A77" t="s">
        <v>26</v>
      </c>
      <c r="B77" s="23">
        <v>0.92</v>
      </c>
      <c r="C77" s="23"/>
      <c r="D77" s="23"/>
      <c r="E77" s="23"/>
      <c r="F77" s="23"/>
      <c r="G77" s="23"/>
      <c r="H77" s="23">
        <v>0.08</v>
      </c>
      <c r="I77" s="31">
        <v>0</v>
      </c>
      <c r="J77" s="77">
        <v>0.75</v>
      </c>
    </row>
    <row r="78" spans="1:10" x14ac:dyDescent="0.15">
      <c r="A78" t="s">
        <v>27</v>
      </c>
      <c r="B78" s="23">
        <v>0.81</v>
      </c>
      <c r="C78" s="23"/>
      <c r="D78" s="23"/>
      <c r="E78" s="23"/>
      <c r="F78" s="23"/>
      <c r="G78" s="23"/>
      <c r="H78" s="23">
        <v>0.19</v>
      </c>
      <c r="I78" s="31">
        <v>0</v>
      </c>
      <c r="J78" s="77">
        <v>0.45</v>
      </c>
    </row>
    <row r="79" spans="1:10" x14ac:dyDescent="0.15">
      <c r="A79" t="s">
        <v>28</v>
      </c>
      <c r="B79" s="23">
        <v>0.81</v>
      </c>
      <c r="C79" s="23"/>
      <c r="D79" s="23"/>
      <c r="E79" s="23"/>
      <c r="F79" s="23"/>
      <c r="G79" s="23"/>
      <c r="H79" s="23">
        <v>0.19</v>
      </c>
      <c r="I79" s="31">
        <v>0</v>
      </c>
      <c r="J79" s="77">
        <v>0.65</v>
      </c>
    </row>
    <row r="80" spans="1:10" x14ac:dyDescent="0.15">
      <c r="A80" t="s">
        <v>29</v>
      </c>
      <c r="B80" s="23">
        <v>0.82</v>
      </c>
      <c r="C80" s="23"/>
      <c r="D80" s="23"/>
      <c r="E80" s="23"/>
      <c r="F80" s="23"/>
      <c r="G80" s="23"/>
      <c r="H80" s="23">
        <v>0.18</v>
      </c>
      <c r="I80" s="31">
        <v>0</v>
      </c>
      <c r="J80" s="77">
        <v>1.27</v>
      </c>
    </row>
    <row r="81" spans="1:10" x14ac:dyDescent="0.15">
      <c r="A81" t="s">
        <v>30</v>
      </c>
      <c r="B81" s="23">
        <v>1</v>
      </c>
      <c r="C81" s="23"/>
      <c r="D81" s="23"/>
      <c r="E81" s="23"/>
      <c r="F81" s="23"/>
      <c r="G81" s="23"/>
      <c r="H81" s="23"/>
      <c r="I81" s="31">
        <v>0</v>
      </c>
      <c r="J81" s="77">
        <v>0.5</v>
      </c>
    </row>
    <row r="82" spans="1:10" x14ac:dyDescent="0.15">
      <c r="A82" t="s">
        <v>92</v>
      </c>
      <c r="B82" s="23">
        <v>0.33</v>
      </c>
      <c r="C82" s="23"/>
      <c r="D82" s="23">
        <v>0.4</v>
      </c>
      <c r="E82" s="23"/>
      <c r="F82" s="23">
        <v>0.26</v>
      </c>
      <c r="G82" s="23"/>
      <c r="H82" s="23"/>
      <c r="I82" s="31">
        <v>0</v>
      </c>
      <c r="J82" s="77">
        <v>0.33</v>
      </c>
    </row>
    <row r="83" spans="1:10" x14ac:dyDescent="0.15">
      <c r="A83" t="s">
        <v>91</v>
      </c>
      <c r="B83" s="23">
        <v>0.32</v>
      </c>
      <c r="C83" s="23"/>
      <c r="D83" s="23">
        <v>0.4</v>
      </c>
      <c r="E83" s="23"/>
      <c r="F83" s="23">
        <v>0.27</v>
      </c>
      <c r="G83" s="23"/>
      <c r="H83" s="23"/>
      <c r="I83" s="31">
        <v>0</v>
      </c>
      <c r="J83" s="77">
        <v>0.32</v>
      </c>
    </row>
    <row r="84" spans="1:10" x14ac:dyDescent="0.15">
      <c r="A84" t="s">
        <v>94</v>
      </c>
      <c r="B84" s="23">
        <v>0.28999999999999998</v>
      </c>
      <c r="C84" s="23">
        <v>0.04</v>
      </c>
      <c r="D84" s="23">
        <v>0.26</v>
      </c>
      <c r="E84" s="23">
        <v>0.14000000000000001</v>
      </c>
      <c r="F84" s="23">
        <v>0.05</v>
      </c>
      <c r="G84" s="23">
        <v>0.13</v>
      </c>
      <c r="H84" s="23"/>
      <c r="I84" s="31">
        <v>0</v>
      </c>
      <c r="J84" s="77">
        <v>0.28999999999999998</v>
      </c>
    </row>
    <row r="85" spans="1:10" x14ac:dyDescent="0.15">
      <c r="A85" t="s">
        <v>38</v>
      </c>
      <c r="B85" s="23">
        <v>0.33</v>
      </c>
      <c r="C85" s="23"/>
      <c r="D85" s="23">
        <v>0.4</v>
      </c>
      <c r="E85" s="23"/>
      <c r="F85" s="23">
        <v>0.27</v>
      </c>
      <c r="G85" s="23"/>
      <c r="H85" s="23"/>
      <c r="I85" s="31">
        <v>0</v>
      </c>
      <c r="J85" s="77">
        <v>0.33</v>
      </c>
    </row>
    <row r="86" spans="1:10" x14ac:dyDescent="0.15">
      <c r="A86" s="76" t="s">
        <v>97</v>
      </c>
      <c r="B86" s="23">
        <v>0.37</v>
      </c>
      <c r="C86" s="23">
        <v>0.06</v>
      </c>
      <c r="D86" s="23">
        <v>0.26600000000000001</v>
      </c>
      <c r="E86" s="23">
        <v>0.2</v>
      </c>
      <c r="F86" s="23">
        <v>0.1</v>
      </c>
      <c r="G86" s="23"/>
      <c r="H86" s="23"/>
      <c r="I86" s="31">
        <v>0</v>
      </c>
      <c r="J86" s="77">
        <v>0.28999999999999998</v>
      </c>
    </row>
    <row r="87" spans="1:10" x14ac:dyDescent="0.15">
      <c r="A87" t="s">
        <v>96</v>
      </c>
      <c r="B87" s="23">
        <v>0.28999999999999998</v>
      </c>
      <c r="C87" s="23">
        <v>7.0000000000000007E-2</v>
      </c>
      <c r="D87" s="23">
        <v>0.35499999999999998</v>
      </c>
      <c r="E87" s="23">
        <v>0.25</v>
      </c>
      <c r="F87" s="23"/>
      <c r="G87" s="23"/>
      <c r="H87" s="23"/>
      <c r="I87" s="31">
        <v>0</v>
      </c>
      <c r="J87" s="77">
        <v>0.28999999999999998</v>
      </c>
    </row>
    <row r="88" spans="1:10" x14ac:dyDescent="0.15">
      <c r="A88" t="s">
        <v>44</v>
      </c>
      <c r="B88" s="23">
        <v>0.43</v>
      </c>
      <c r="C88" s="23"/>
      <c r="D88" s="23">
        <v>0.39</v>
      </c>
      <c r="E88" s="23">
        <v>0.18</v>
      </c>
      <c r="F88" s="23"/>
      <c r="G88" s="23"/>
      <c r="H88" s="23"/>
      <c r="I88" s="31">
        <v>0</v>
      </c>
      <c r="J88" s="77">
        <v>0.43</v>
      </c>
    </row>
    <row r="89" spans="1:10" x14ac:dyDescent="0.15">
      <c r="A89" t="s">
        <v>43</v>
      </c>
      <c r="B89" s="23">
        <v>0.43</v>
      </c>
      <c r="C89" s="23"/>
      <c r="D89" s="23">
        <v>0.38</v>
      </c>
      <c r="E89" s="23"/>
      <c r="F89" s="23">
        <v>0.18</v>
      </c>
      <c r="G89" s="23"/>
      <c r="H89" s="23"/>
      <c r="I89" s="31">
        <v>0</v>
      </c>
      <c r="J89" s="77">
        <v>0.43</v>
      </c>
    </row>
    <row r="90" spans="1:10" x14ac:dyDescent="0.15">
      <c r="A90" s="76" t="s">
        <v>37</v>
      </c>
      <c r="B90" s="23">
        <v>0.28999999999999998</v>
      </c>
      <c r="C90" s="23"/>
      <c r="D90" s="23">
        <v>0.42</v>
      </c>
      <c r="E90" s="23"/>
      <c r="F90" s="23">
        <v>0.28999999999999998</v>
      </c>
      <c r="G90" s="23"/>
      <c r="H90" s="23"/>
      <c r="I90" s="31">
        <v>0</v>
      </c>
      <c r="J90" s="77">
        <v>0.28999999999999998</v>
      </c>
    </row>
    <row r="91" spans="1:10" x14ac:dyDescent="0.15">
      <c r="A91" t="s">
        <v>45</v>
      </c>
      <c r="B91" s="23">
        <v>0.43</v>
      </c>
      <c r="C91" s="23"/>
      <c r="D91" s="23">
        <v>0.35</v>
      </c>
      <c r="E91" s="23">
        <v>0.21</v>
      </c>
      <c r="F91" s="23"/>
      <c r="G91" s="23"/>
      <c r="H91" s="23"/>
      <c r="I91" s="31">
        <v>0</v>
      </c>
      <c r="J91" s="77">
        <v>0.43</v>
      </c>
    </row>
    <row r="92" spans="1:10" x14ac:dyDescent="0.15">
      <c r="A92" t="s">
        <v>39</v>
      </c>
      <c r="B92" s="23">
        <v>0.34</v>
      </c>
      <c r="C92" s="23">
        <v>0.05</v>
      </c>
      <c r="D92" s="23">
        <v>0.4</v>
      </c>
      <c r="E92" s="23">
        <v>0.16</v>
      </c>
      <c r="F92" s="23">
        <v>0.05</v>
      </c>
      <c r="G92" s="23"/>
      <c r="H92" s="23"/>
      <c r="I92" s="31">
        <v>0</v>
      </c>
      <c r="J92" s="77">
        <v>0.34</v>
      </c>
    </row>
    <row r="93" spans="1:10" x14ac:dyDescent="0.15">
      <c r="A93" t="s">
        <v>40</v>
      </c>
      <c r="B93" s="23">
        <v>0.38</v>
      </c>
      <c r="C93" s="23"/>
      <c r="D93" s="23">
        <v>0.38</v>
      </c>
      <c r="E93" s="23"/>
      <c r="F93" s="23">
        <v>0.24</v>
      </c>
      <c r="G93" s="23"/>
      <c r="H93" s="23"/>
      <c r="I93" s="31">
        <v>100</v>
      </c>
      <c r="J93" s="77">
        <v>0.38</v>
      </c>
    </row>
    <row r="94" spans="1:10" x14ac:dyDescent="0.15">
      <c r="A94" t="s">
        <v>41</v>
      </c>
      <c r="B94" s="23">
        <v>0.35</v>
      </c>
      <c r="C94" s="23"/>
      <c r="D94" s="23">
        <v>0.39</v>
      </c>
      <c r="E94" s="23"/>
      <c r="F94" s="23">
        <v>0.26</v>
      </c>
      <c r="G94" s="23"/>
      <c r="H94" s="23"/>
      <c r="I94" s="31">
        <v>0</v>
      </c>
      <c r="J94" s="77">
        <v>0.35</v>
      </c>
    </row>
    <row r="95" spans="1:10" x14ac:dyDescent="0.15">
      <c r="A95" t="s">
        <v>98</v>
      </c>
      <c r="B95" s="23">
        <v>0.31</v>
      </c>
      <c r="C95" s="23"/>
      <c r="D95" s="23">
        <v>0.41</v>
      </c>
      <c r="E95" s="23"/>
      <c r="F95" s="23">
        <v>0.27</v>
      </c>
      <c r="G95" s="23"/>
      <c r="H95" s="23"/>
      <c r="I95" s="31">
        <v>0</v>
      </c>
      <c r="J95" s="77">
        <v>0.31</v>
      </c>
    </row>
    <row r="96" spans="1:10" x14ac:dyDescent="0.15">
      <c r="A96" t="s">
        <v>88</v>
      </c>
      <c r="B96" s="23">
        <v>0.47</v>
      </c>
      <c r="C96" s="23"/>
      <c r="D96" s="23">
        <v>0.379</v>
      </c>
      <c r="E96" s="23"/>
      <c r="F96" s="23"/>
      <c r="G96" s="23">
        <v>0.14000000000000001</v>
      </c>
      <c r="H96" s="23"/>
      <c r="I96" s="31">
        <v>0</v>
      </c>
      <c r="J96" s="77">
        <v>0.47</v>
      </c>
    </row>
    <row r="97" spans="1:10" x14ac:dyDescent="0.15">
      <c r="A97" t="s">
        <v>42</v>
      </c>
      <c r="B97" s="23">
        <v>0.35</v>
      </c>
      <c r="C97" s="23"/>
      <c r="D97" s="23">
        <v>0.39</v>
      </c>
      <c r="E97" s="23"/>
      <c r="F97" s="23">
        <v>0.26</v>
      </c>
      <c r="G97" s="23"/>
      <c r="H97" s="23"/>
      <c r="I97" s="31">
        <v>0</v>
      </c>
      <c r="J97" s="77">
        <v>0.35</v>
      </c>
    </row>
    <row r="98" spans="1:10" x14ac:dyDescent="0.15">
      <c r="A98" t="s">
        <v>3</v>
      </c>
      <c r="B98" s="23"/>
      <c r="C98" s="23"/>
      <c r="D98" s="23"/>
      <c r="E98" s="23"/>
      <c r="F98" s="23"/>
      <c r="G98" s="23"/>
      <c r="H98" s="23">
        <v>1</v>
      </c>
      <c r="I98" s="31">
        <v>0</v>
      </c>
    </row>
    <row r="99" spans="1:10" x14ac:dyDescent="0.15">
      <c r="A99" t="s">
        <v>31</v>
      </c>
      <c r="B99" s="23"/>
      <c r="C99" s="23"/>
      <c r="D99" s="23"/>
      <c r="E99" s="23"/>
      <c r="F99" s="23"/>
      <c r="G99" s="23">
        <v>0.7</v>
      </c>
      <c r="H99" s="23">
        <v>0.3</v>
      </c>
      <c r="I99" s="31">
        <v>0</v>
      </c>
    </row>
    <row r="100" spans="1:10" x14ac:dyDescent="0.15">
      <c r="A100" t="s">
        <v>32</v>
      </c>
      <c r="B100" s="23"/>
      <c r="C100" s="23"/>
      <c r="D100" s="23"/>
      <c r="E100" s="23"/>
      <c r="F100" s="23"/>
      <c r="G100" s="23">
        <v>0.7</v>
      </c>
      <c r="H100" s="23">
        <v>0.3</v>
      </c>
      <c r="I100" s="31">
        <v>0</v>
      </c>
    </row>
    <row r="101" spans="1:10" x14ac:dyDescent="0.15">
      <c r="A101" t="s">
        <v>100</v>
      </c>
      <c r="B101" s="23"/>
      <c r="C101" s="23">
        <v>0.33</v>
      </c>
      <c r="D101" s="23"/>
      <c r="E101" s="23">
        <v>2.5000000000000001E-2</v>
      </c>
      <c r="F101" s="23"/>
      <c r="G101" s="23"/>
      <c r="H101" s="23">
        <v>0.61299999999999999</v>
      </c>
      <c r="I101" s="31">
        <v>100</v>
      </c>
    </row>
    <row r="102" spans="1:10" x14ac:dyDescent="0.15">
      <c r="A102" t="s">
        <v>105</v>
      </c>
      <c r="B102" s="23">
        <v>0.35</v>
      </c>
      <c r="C102" s="23"/>
      <c r="D102" s="23">
        <v>0.38</v>
      </c>
      <c r="E102" s="23"/>
      <c r="F102" s="23">
        <v>0.26</v>
      </c>
      <c r="G102" s="23"/>
      <c r="H102" s="23"/>
      <c r="J102" s="77">
        <v>0.35</v>
      </c>
    </row>
    <row r="103" spans="1:10" x14ac:dyDescent="0.15">
      <c r="A103" t="s">
        <v>106</v>
      </c>
      <c r="B103" s="23">
        <v>0.35</v>
      </c>
      <c r="C103" s="23">
        <v>0.04</v>
      </c>
      <c r="D103" s="23">
        <v>0.31</v>
      </c>
      <c r="E103" s="23">
        <v>0.2</v>
      </c>
      <c r="F103" s="23">
        <v>0.1</v>
      </c>
      <c r="G103" s="23"/>
      <c r="H103" s="23"/>
      <c r="I103" s="31">
        <v>0</v>
      </c>
      <c r="J103" s="77">
        <v>0.35</v>
      </c>
    </row>
    <row r="104" spans="1:10" x14ac:dyDescent="0.15">
      <c r="A104" t="s">
        <v>107</v>
      </c>
      <c r="B104" s="23">
        <v>0.34</v>
      </c>
      <c r="C104" s="23"/>
      <c r="D104" s="23">
        <v>0.39</v>
      </c>
      <c r="E104" s="23"/>
      <c r="F104" s="23">
        <v>0.26</v>
      </c>
      <c r="G104" s="23"/>
      <c r="H104" s="23"/>
      <c r="I104" s="31">
        <v>0</v>
      </c>
      <c r="J104" s="77">
        <v>0.34</v>
      </c>
    </row>
    <row r="105" spans="1:10" x14ac:dyDescent="0.15">
      <c r="A105" t="s">
        <v>108</v>
      </c>
      <c r="B105" s="23">
        <v>0.28999999999999998</v>
      </c>
      <c r="C105" s="23"/>
      <c r="D105" s="23">
        <v>0.45</v>
      </c>
      <c r="E105" s="23"/>
      <c r="F105" s="23">
        <v>0.25</v>
      </c>
      <c r="G105" s="23"/>
      <c r="H105" s="23"/>
      <c r="I105" s="31">
        <v>0</v>
      </c>
      <c r="J105" s="77">
        <v>0.28999999999999998</v>
      </c>
    </row>
    <row r="106" spans="1:10" x14ac:dyDescent="0.15">
      <c r="A106" t="s">
        <v>109</v>
      </c>
      <c r="B106" s="23">
        <v>0.5</v>
      </c>
      <c r="C106" s="23"/>
      <c r="D106" s="23">
        <v>0.28000000000000003</v>
      </c>
      <c r="E106" s="23"/>
      <c r="F106" s="23">
        <v>0.21</v>
      </c>
      <c r="G106" s="23"/>
      <c r="H106" s="23"/>
      <c r="I106" s="31">
        <v>0</v>
      </c>
      <c r="J106" s="77">
        <v>0.5</v>
      </c>
    </row>
    <row r="107" spans="1:10" x14ac:dyDescent="0.15">
      <c r="A107" t="s">
        <v>110</v>
      </c>
      <c r="B107" s="23">
        <v>0.3</v>
      </c>
      <c r="C107" s="23"/>
      <c r="D107" s="23">
        <v>0.255</v>
      </c>
      <c r="E107" s="23">
        <v>0.23</v>
      </c>
      <c r="F107" s="23">
        <v>0.20699999999999999</v>
      </c>
      <c r="G107" s="23"/>
      <c r="H107" s="23"/>
      <c r="I107" s="31">
        <v>0</v>
      </c>
      <c r="J107" s="77">
        <v>0.3</v>
      </c>
    </row>
    <row r="108" spans="1:10" x14ac:dyDescent="0.15">
      <c r="A108" t="s">
        <v>111</v>
      </c>
      <c r="B108" s="23"/>
      <c r="C108" s="23"/>
      <c r="D108" s="23"/>
      <c r="E108" s="23"/>
      <c r="F108" s="23"/>
      <c r="G108" s="23"/>
      <c r="H108" s="23">
        <v>0.55000000000000004</v>
      </c>
      <c r="I108" s="31">
        <v>0</v>
      </c>
    </row>
    <row r="109" spans="1:10" x14ac:dyDescent="0.15">
      <c r="A109" t="s">
        <v>112</v>
      </c>
      <c r="B109" s="23"/>
      <c r="C109" s="23"/>
      <c r="D109" s="23">
        <v>0.54</v>
      </c>
      <c r="E109" s="23"/>
      <c r="F109" s="23">
        <v>0.45</v>
      </c>
      <c r="G109" s="23"/>
      <c r="H109" s="23"/>
      <c r="I109" s="31">
        <v>0</v>
      </c>
    </row>
    <row r="110" spans="1:10" x14ac:dyDescent="0.15">
      <c r="A110" t="s">
        <v>113</v>
      </c>
      <c r="B110" s="23">
        <v>0.38500000000000001</v>
      </c>
      <c r="C110" s="23"/>
      <c r="D110" s="23">
        <v>0.3</v>
      </c>
      <c r="E110" s="23"/>
      <c r="F110" s="23"/>
      <c r="G110" s="23">
        <v>0.30599999999999999</v>
      </c>
      <c r="H110" s="23"/>
      <c r="I110" s="31">
        <v>0</v>
      </c>
      <c r="J110" s="77">
        <v>0.38</v>
      </c>
    </row>
    <row r="111" spans="1:10" x14ac:dyDescent="0.15">
      <c r="A111" t="s">
        <v>114</v>
      </c>
      <c r="B111" s="23"/>
      <c r="C111" s="23"/>
      <c r="D111" s="23"/>
      <c r="E111" s="23"/>
      <c r="F111" s="23"/>
      <c r="G111" s="23"/>
      <c r="H111" s="23">
        <v>0.5</v>
      </c>
      <c r="I111" s="31">
        <v>0</v>
      </c>
    </row>
    <row r="112" spans="1:10" x14ac:dyDescent="0.15">
      <c r="A112" t="s">
        <v>115</v>
      </c>
      <c r="B112" s="23"/>
      <c r="C112" s="23"/>
      <c r="D112" s="23"/>
      <c r="E112" s="23"/>
      <c r="F112" s="23"/>
      <c r="G112" s="23"/>
      <c r="H112" s="23">
        <v>0.56999999999999995</v>
      </c>
      <c r="I112" s="31">
        <v>0</v>
      </c>
    </row>
    <row r="113" spans="1:10" x14ac:dyDescent="0.15">
      <c r="A113" t="s">
        <v>141</v>
      </c>
      <c r="B113" s="23">
        <v>0.19</v>
      </c>
      <c r="C113" s="23"/>
      <c r="D113" s="23"/>
      <c r="E113" s="23"/>
      <c r="F113" s="23"/>
      <c r="G113" s="23">
        <v>0.3</v>
      </c>
      <c r="H113" s="23">
        <v>0.6</v>
      </c>
      <c r="I113" s="31">
        <v>0</v>
      </c>
      <c r="J113" s="77">
        <v>0.19</v>
      </c>
    </row>
    <row r="114" spans="1:10" x14ac:dyDescent="0.15">
      <c r="A114" t="s">
        <v>142</v>
      </c>
      <c r="B114" s="23"/>
      <c r="C114" s="23">
        <v>0.54</v>
      </c>
      <c r="D114" s="23"/>
      <c r="E114" s="23"/>
      <c r="F114" s="23"/>
      <c r="G114" s="23"/>
      <c r="H114" s="23"/>
      <c r="I114" s="31">
        <v>0</v>
      </c>
    </row>
    <row r="115" spans="1:10" x14ac:dyDescent="0.15">
      <c r="A115" t="s">
        <v>143</v>
      </c>
      <c r="B115" s="23"/>
      <c r="C115" s="23"/>
      <c r="D115" s="23"/>
      <c r="E115" s="23"/>
      <c r="F115" s="23"/>
      <c r="G115" s="23"/>
      <c r="H115" s="23"/>
      <c r="I115" s="31">
        <v>0</v>
      </c>
    </row>
    <row r="116" spans="1:10" x14ac:dyDescent="0.15">
      <c r="A116" t="s">
        <v>144</v>
      </c>
      <c r="B116" s="23">
        <v>0.30099999999999999</v>
      </c>
      <c r="C116" s="23">
        <v>3.7999999999999999E-2</v>
      </c>
      <c r="D116" s="23">
        <v>0.28999999999999998</v>
      </c>
      <c r="E116" s="23">
        <v>0.3</v>
      </c>
      <c r="F116" s="23">
        <v>0.06</v>
      </c>
      <c r="G116" s="23"/>
      <c r="H116" s="23"/>
      <c r="I116" s="31">
        <v>0</v>
      </c>
      <c r="J116" s="77">
        <v>0.30099999999999999</v>
      </c>
    </row>
    <row r="117" spans="1:10" x14ac:dyDescent="0.15">
      <c r="A117" t="s">
        <v>150</v>
      </c>
      <c r="B117" s="23">
        <v>0.32300000000000001</v>
      </c>
      <c r="C117" s="23">
        <v>0.08</v>
      </c>
      <c r="D117" s="23">
        <v>0.34699999999999998</v>
      </c>
      <c r="E117" s="23">
        <v>0.24299999999999999</v>
      </c>
      <c r="F117" s="23"/>
      <c r="G117" s="23"/>
      <c r="H117" s="23"/>
      <c r="I117" s="31">
        <v>0</v>
      </c>
      <c r="J117" s="77">
        <v>0.32300000000000001</v>
      </c>
    </row>
    <row r="118" spans="1:10" x14ac:dyDescent="0.15">
      <c r="A118" t="s">
        <v>151</v>
      </c>
      <c r="B118" s="23">
        <v>0.374</v>
      </c>
      <c r="C118" s="23">
        <v>5.5E-2</v>
      </c>
      <c r="D118" s="23">
        <v>0.255</v>
      </c>
      <c r="E118" s="23">
        <v>0.23</v>
      </c>
      <c r="F118" s="23">
        <v>8.2000000000000003E-2</v>
      </c>
      <c r="G118" s="23"/>
      <c r="H118" s="23"/>
      <c r="I118" s="31">
        <v>0</v>
      </c>
      <c r="J118" s="77">
        <v>0.374</v>
      </c>
    </row>
    <row r="119" spans="1:10" x14ac:dyDescent="0.15">
      <c r="B119" s="23"/>
      <c r="C119" s="23"/>
      <c r="D119" s="23"/>
      <c r="E119" s="23"/>
      <c r="F119" s="23"/>
      <c r="G119" s="23"/>
      <c r="H119" s="23"/>
      <c r="I119" s="31">
        <v>0</v>
      </c>
    </row>
    <row r="120" spans="1:10" x14ac:dyDescent="0.15">
      <c r="B120" s="23"/>
      <c r="C120" s="23"/>
      <c r="D120" s="23"/>
      <c r="E120" s="23"/>
      <c r="F120" s="23"/>
      <c r="G120" s="23"/>
      <c r="H120" s="23"/>
      <c r="I120" s="31">
        <v>0</v>
      </c>
    </row>
    <row r="121" spans="1:10" x14ac:dyDescent="0.15">
      <c r="B121" s="23"/>
      <c r="C121" s="23"/>
      <c r="D121" s="23"/>
      <c r="E121" s="23"/>
      <c r="F121" s="23"/>
      <c r="G121" s="23"/>
      <c r="H121" s="23"/>
      <c r="I121" s="31">
        <v>0</v>
      </c>
    </row>
    <row r="122" spans="1:10" x14ac:dyDescent="0.15">
      <c r="B122" s="23"/>
      <c r="C122" s="23"/>
      <c r="D122" s="23"/>
      <c r="E122" s="23"/>
      <c r="F122" s="23"/>
      <c r="G122" s="23"/>
      <c r="H122" s="23"/>
      <c r="I122" s="31">
        <v>0</v>
      </c>
    </row>
    <row r="123" spans="1:10" x14ac:dyDescent="0.15">
      <c r="B123" s="23"/>
      <c r="C123" s="23"/>
      <c r="D123" s="23"/>
      <c r="E123" s="23"/>
      <c r="F123" s="23"/>
      <c r="G123" s="23"/>
      <c r="H123" s="23"/>
      <c r="I123" s="31">
        <v>0</v>
      </c>
    </row>
    <row r="124" spans="1:10" x14ac:dyDescent="0.15">
      <c r="B124" s="23"/>
      <c r="C124" s="23"/>
      <c r="D124" s="23"/>
      <c r="E124" s="23"/>
      <c r="F124" s="23"/>
      <c r="G124" s="23"/>
      <c r="H124" s="23"/>
      <c r="I124" s="31">
        <v>0</v>
      </c>
    </row>
    <row r="125" spans="1:10" x14ac:dyDescent="0.15">
      <c r="B125" s="23"/>
      <c r="C125" s="23"/>
      <c r="D125" s="23"/>
      <c r="E125" s="23"/>
      <c r="F125" s="23"/>
      <c r="G125" s="23"/>
      <c r="H125" s="23"/>
      <c r="I125" s="31">
        <v>0</v>
      </c>
    </row>
    <row r="126" spans="1:10" x14ac:dyDescent="0.15">
      <c r="B126" s="23"/>
      <c r="C126" s="23"/>
      <c r="D126" s="23"/>
      <c r="E126" s="23"/>
      <c r="F126" s="23"/>
      <c r="G126" s="23"/>
      <c r="H126" s="23"/>
      <c r="I126" s="31">
        <v>0</v>
      </c>
    </row>
    <row r="127" spans="1:10" x14ac:dyDescent="0.15">
      <c r="B127" s="23"/>
      <c r="C127" s="23"/>
      <c r="D127" s="23"/>
      <c r="E127" s="23"/>
      <c r="F127" s="23"/>
      <c r="G127" s="23"/>
      <c r="H127" s="23"/>
      <c r="I127" s="31">
        <v>0</v>
      </c>
    </row>
    <row r="128" spans="1:10" x14ac:dyDescent="0.15">
      <c r="B128" s="23"/>
      <c r="C128" s="23"/>
      <c r="D128" s="23"/>
      <c r="E128" s="23"/>
      <c r="F128" s="23"/>
      <c r="G128" s="23"/>
      <c r="H128" s="23"/>
      <c r="I128" s="31">
        <v>0</v>
      </c>
    </row>
    <row r="129" spans="1:9" x14ac:dyDescent="0.15">
      <c r="B129" s="23"/>
      <c r="C129" s="23"/>
      <c r="D129" s="23"/>
      <c r="E129" s="23"/>
      <c r="F129" s="23"/>
      <c r="G129" s="23"/>
      <c r="H129" s="23"/>
      <c r="I129" s="31">
        <v>0</v>
      </c>
    </row>
    <row r="130" spans="1:9" x14ac:dyDescent="0.15">
      <c r="B130" s="23"/>
      <c r="C130" s="23"/>
      <c r="D130" s="23"/>
      <c r="E130" s="23"/>
      <c r="F130" s="23"/>
      <c r="G130" s="23"/>
      <c r="H130" s="23"/>
      <c r="I130" s="31">
        <v>0</v>
      </c>
    </row>
    <row r="131" spans="1:9" x14ac:dyDescent="0.15">
      <c r="B131" s="23"/>
      <c r="C131" s="23"/>
      <c r="D131" s="23"/>
      <c r="E131" s="23"/>
      <c r="F131" s="23"/>
      <c r="G131" s="23"/>
      <c r="H131" s="23"/>
      <c r="I131" s="31">
        <v>0</v>
      </c>
    </row>
    <row r="132" spans="1:9" x14ac:dyDescent="0.15">
      <c r="B132" s="23"/>
      <c r="C132" s="23"/>
      <c r="D132" s="23"/>
      <c r="E132" s="23"/>
      <c r="F132" s="23"/>
      <c r="G132" s="23"/>
      <c r="H132" s="23"/>
      <c r="I132" s="31">
        <v>0</v>
      </c>
    </row>
    <row r="133" spans="1:9" x14ac:dyDescent="0.15">
      <c r="B133" s="23"/>
      <c r="C133" s="23"/>
      <c r="D133" s="23"/>
      <c r="E133" s="23"/>
      <c r="F133" s="23"/>
      <c r="G133" s="23"/>
      <c r="H133" s="23"/>
      <c r="I133" s="31">
        <v>0</v>
      </c>
    </row>
    <row r="134" spans="1:9" x14ac:dyDescent="0.15">
      <c r="A134" s="26"/>
      <c r="B134" s="23"/>
      <c r="C134" s="23"/>
      <c r="D134" s="23"/>
      <c r="E134" s="23"/>
      <c r="F134" s="23"/>
      <c r="G134" s="23"/>
      <c r="H134" s="23"/>
      <c r="I134" s="31">
        <v>0</v>
      </c>
    </row>
    <row r="135" spans="1:9" x14ac:dyDescent="0.15">
      <c r="B135" s="23"/>
      <c r="C135" s="23"/>
      <c r="D135" s="23"/>
      <c r="E135" s="23"/>
      <c r="F135" s="23"/>
      <c r="G135" s="23"/>
      <c r="H135" s="23"/>
      <c r="I135" s="31">
        <v>0</v>
      </c>
    </row>
    <row r="136" spans="1:9" x14ac:dyDescent="0.15">
      <c r="B136" s="23"/>
      <c r="C136" s="23"/>
      <c r="D136" s="23"/>
      <c r="E136" s="23"/>
      <c r="F136" s="23"/>
      <c r="G136" s="23"/>
      <c r="H136" s="23"/>
      <c r="I136" s="31">
        <v>0</v>
      </c>
    </row>
    <row r="137" spans="1:9" x14ac:dyDescent="0.15">
      <c r="B137" s="23"/>
      <c r="C137" s="23"/>
      <c r="D137" s="23"/>
      <c r="E137" s="23"/>
      <c r="F137" s="23"/>
      <c r="G137" s="23"/>
      <c r="H137" s="23"/>
      <c r="I137" s="31">
        <v>0</v>
      </c>
    </row>
    <row r="138" spans="1:9" x14ac:dyDescent="0.15">
      <c r="B138" s="23"/>
      <c r="C138" s="23"/>
      <c r="D138" s="23"/>
      <c r="E138" s="23"/>
      <c r="F138" s="23"/>
      <c r="G138" s="23"/>
      <c r="H138" s="23"/>
      <c r="I138" s="31">
        <v>0</v>
      </c>
    </row>
    <row r="139" spans="1:9" x14ac:dyDescent="0.15">
      <c r="B139" s="23"/>
      <c r="C139" s="23"/>
      <c r="D139" s="23"/>
      <c r="E139" s="23"/>
      <c r="F139" s="23"/>
      <c r="G139" s="23"/>
      <c r="H139" s="23"/>
      <c r="I139" s="31">
        <v>0</v>
      </c>
    </row>
    <row r="140" spans="1:9" x14ac:dyDescent="0.15">
      <c r="B140" s="23"/>
      <c r="C140" s="23"/>
      <c r="D140" s="23"/>
      <c r="E140" s="23"/>
      <c r="F140" s="23"/>
      <c r="G140" s="23"/>
      <c r="H140" s="23"/>
      <c r="I140" s="31">
        <v>0</v>
      </c>
    </row>
    <row r="141" spans="1:9" x14ac:dyDescent="0.15">
      <c r="B141" s="23"/>
      <c r="C141" s="23"/>
      <c r="D141" s="23"/>
      <c r="E141" s="23"/>
      <c r="F141" s="23"/>
      <c r="G141" s="23"/>
      <c r="H141" s="23"/>
      <c r="I141" s="31">
        <v>0</v>
      </c>
    </row>
    <row r="142" spans="1:9" x14ac:dyDescent="0.15">
      <c r="B142" s="23"/>
      <c r="C142" s="23"/>
      <c r="D142" s="23"/>
      <c r="E142" s="23"/>
      <c r="F142" s="23"/>
      <c r="G142" s="23"/>
      <c r="H142" s="23"/>
      <c r="I142" s="31">
        <v>0</v>
      </c>
    </row>
  </sheetData>
  <sortState xmlns:xlrd2="http://schemas.microsoft.com/office/spreadsheetml/2017/richdata2" ref="A6:I142">
    <sortCondition ref="A6:A142"/>
  </sortState>
  <mergeCells count="3">
    <mergeCell ref="I1:I2"/>
    <mergeCell ref="A1:A2"/>
    <mergeCell ref="C1:D1"/>
  </mergeCells>
  <phoneticPr fontId="2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01"/>
  <sheetViews>
    <sheetView tabSelected="1" topLeftCell="C3" zoomScale="110" zoomScaleNormal="110" zoomScalePageLayoutView="125" workbookViewId="0">
      <selection activeCell="C11" sqref="C11"/>
    </sheetView>
  </sheetViews>
  <sheetFormatPr baseColWidth="10" defaultColWidth="36.5" defaultRowHeight="13" x14ac:dyDescent="0.15"/>
  <cols>
    <col min="1" max="1" width="17.5" hidden="1" customWidth="1"/>
    <col min="2" max="2" width="25.1640625" hidden="1" customWidth="1"/>
    <col min="3" max="3" width="36.5" customWidth="1"/>
    <col min="4" max="4" width="13.1640625" customWidth="1"/>
    <col min="5" max="5" width="20" customWidth="1"/>
    <col min="6" max="6" width="11.5" customWidth="1"/>
    <col min="7" max="7" width="11.1640625" customWidth="1"/>
    <col min="8" max="8" width="9.5" customWidth="1"/>
    <col min="9" max="9" width="8.5" customWidth="1"/>
    <col min="10" max="11" width="8.1640625" customWidth="1"/>
    <col min="12" max="12" width="7.6640625" customWidth="1"/>
    <col min="13" max="13" width="9.1640625" customWidth="1"/>
    <col min="14" max="14" width="9.5" style="77" customWidth="1"/>
  </cols>
  <sheetData>
    <row r="1" spans="1:14" ht="21" hidden="1" customHeight="1" thickBot="1" x14ac:dyDescent="0.2"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4" ht="18.75" customHeight="1" thickBot="1" x14ac:dyDescent="0.25">
      <c r="B2">
        <f>Database!A4</f>
        <v>0</v>
      </c>
      <c r="C2" s="25" t="s">
        <v>147</v>
      </c>
      <c r="D2" s="73"/>
      <c r="E2" s="74"/>
      <c r="F2" s="74"/>
      <c r="G2" s="74"/>
      <c r="H2" s="74"/>
      <c r="I2" s="74"/>
      <c r="J2" s="74"/>
      <c r="K2" s="74"/>
      <c r="L2" s="74"/>
      <c r="M2" s="75"/>
    </row>
    <row r="3" spans="1:14" ht="29.25" customHeight="1" thickBot="1" x14ac:dyDescent="0.2">
      <c r="A3" t="e">
        <f>#REF!</f>
        <v>#REF!</v>
      </c>
      <c r="B3">
        <f>Database!A5</f>
        <v>0</v>
      </c>
      <c r="C3" s="64"/>
      <c r="D3" s="78"/>
      <c r="E3" s="123" t="s">
        <v>1</v>
      </c>
      <c r="F3" s="99"/>
      <c r="G3" s="121" t="s">
        <v>49</v>
      </c>
      <c r="H3" s="122"/>
      <c r="I3" s="84" t="s">
        <v>61</v>
      </c>
      <c r="J3" s="51" t="s">
        <v>54</v>
      </c>
      <c r="K3" s="81" t="s">
        <v>55</v>
      </c>
      <c r="L3" s="106" t="s">
        <v>56</v>
      </c>
      <c r="M3" s="119" t="s">
        <v>57</v>
      </c>
      <c r="N3" s="110" t="s">
        <v>104</v>
      </c>
    </row>
    <row r="4" spans="1:14" ht="14" thickBot="1" x14ac:dyDescent="0.2">
      <c r="A4" t="e">
        <f>#REF!</f>
        <v>#REF!</v>
      </c>
      <c r="B4" t="str">
        <f>Database!A6</f>
        <v>Alco lichi</v>
      </c>
      <c r="C4" s="80"/>
      <c r="D4" s="79" t="s">
        <v>59</v>
      </c>
      <c r="E4" s="124"/>
      <c r="F4" s="101" t="s">
        <v>58</v>
      </c>
      <c r="G4" s="105" t="s">
        <v>2</v>
      </c>
      <c r="H4" s="105" t="s">
        <v>60</v>
      </c>
      <c r="I4" s="82"/>
      <c r="J4" s="52" t="s">
        <v>51</v>
      </c>
      <c r="K4" s="82" t="s">
        <v>53</v>
      </c>
      <c r="L4" s="107"/>
      <c r="M4" s="120"/>
      <c r="N4" s="110" t="s">
        <v>104</v>
      </c>
    </row>
    <row r="5" spans="1:14" x14ac:dyDescent="0.15">
      <c r="A5" t="e">
        <f>#REF!</f>
        <v>#REF!</v>
      </c>
      <c r="B5" t="str">
        <f>Database!A7</f>
        <v>alcool 40%</v>
      </c>
      <c r="C5" s="65"/>
      <c r="D5" s="66"/>
      <c r="E5" s="70">
        <f t="shared" ref="E5:E29" si="0">D5/$D$30</f>
        <v>0</v>
      </c>
      <c r="F5" s="111">
        <f>IF(ISERROR(VLOOKUP($C5,Database!$A:$I,D$1,FALSE)*$E5),0,VLOOKUP($C5,Database!$A:$I,D$1,FALSE)*$E5)</f>
        <v>0</v>
      </c>
      <c r="G5" s="70">
        <f>IF(ISERROR(VLOOKUP($C5,Database!$A:$I,E$1,FALSE)*$E5),0,VLOOKUP($C5,Database!$A:$I,E$1,FALSE)*$E5)</f>
        <v>0</v>
      </c>
      <c r="H5" s="70">
        <f>IF(ISERROR(VLOOKUP($C5,Database!$A:$I,F$1,FALSE)*$E5),0,VLOOKUP($C5,Database!$A:$I,F$1,FALSE)*$E5)</f>
        <v>0</v>
      </c>
      <c r="I5" s="70">
        <f>IF(ISERROR(VLOOKUP($C5,Database!$A:$I,G$1,FALSE)*$E5),0,VLOOKUP($C5,Database!$A:$I,G$1,FALSE)*$E5)</f>
        <v>0</v>
      </c>
      <c r="J5" s="70">
        <f>IF(ISERROR(VLOOKUP($C5,Database!$A:$I,H$1,FALSE)*$E5),0,VLOOKUP($C5,Database!$A:$I,H$1,FALSE)*$E5)</f>
        <v>0</v>
      </c>
      <c r="K5" s="70">
        <f>IF(ISERROR(VLOOKUP($C5,Database!$A:$I,I$1,FALSE)*$E5),0,VLOOKUP($C5,Database!$A:$I,I$1,FALSE)*$E5)</f>
        <v>0</v>
      </c>
      <c r="L5" s="70">
        <f>IF(ISERROR(VLOOKUP($C5,Database!$A:$I,J$1,FALSE)*$E5),0,VLOOKUP($C5,Database!$A:$I,J$1,FALSE)*$E5)</f>
        <v>0</v>
      </c>
      <c r="M5" s="71">
        <f>IF(ISERROR(VLOOKUP($C5,Database!$A:$I,K$1,FALSE)*$E5),0,VLOOKUP($C5,Database!$A:$I,K$1,FALSE)*$E5)</f>
        <v>0</v>
      </c>
      <c r="N5" s="77">
        <f>IF(ISERROR(VLOOKUP($C5,Database!$A:$J,10,FALSE)),0,VLOOKUP($C5,Database!$A:$J,10,FALSE)*$E5)</f>
        <v>0</v>
      </c>
    </row>
    <row r="6" spans="1:14" x14ac:dyDescent="0.15">
      <c r="A6" t="e">
        <f>#REF!</f>
        <v>#REF!</v>
      </c>
      <c r="B6" t="str">
        <f>Database!A8</f>
        <v>alcool 50%</v>
      </c>
      <c r="C6" s="116" t="s">
        <v>100</v>
      </c>
      <c r="D6" s="68">
        <v>12</v>
      </c>
      <c r="E6" s="70">
        <f t="shared" si="0"/>
        <v>1.9775873434410021E-2</v>
      </c>
      <c r="F6" s="70">
        <f>IF(ISERROR(VLOOKUP($C6,Database!$A:$I,D$1,FALSE)*$E6),0,VLOOKUP($C6,Database!$A:$I,D$1,FALSE)*$E6)</f>
        <v>0</v>
      </c>
      <c r="G6" s="70">
        <f>IF(ISERROR(VLOOKUP($C6,Database!$A:$I,E$1,FALSE)*$E6),0,VLOOKUP($C6,Database!$A:$I,E$1,FALSE)*$E6)</f>
        <v>6.5260382333553069E-3</v>
      </c>
      <c r="H6" s="70">
        <f>IF(ISERROR(VLOOKUP($C6,Database!$A:$I,F$1,FALSE)*$E6),0,VLOOKUP($C6,Database!$A:$I,F$1,FALSE)*$E6)</f>
        <v>0</v>
      </c>
      <c r="I6" s="70">
        <f>IF(ISERROR(VLOOKUP($C6,Database!$A:$I,G$1,FALSE)*$E6),0,VLOOKUP($C6,Database!$A:$I,G$1,FALSE)*$E6)</f>
        <v>4.9439683586025051E-4</v>
      </c>
      <c r="J6" s="70">
        <f>IF(ISERROR(VLOOKUP($C6,Database!$A:$I,H$1,FALSE)*$E6),0,VLOOKUP($C6,Database!$A:$I,H$1,FALSE)*$E6)</f>
        <v>0</v>
      </c>
      <c r="K6" s="70">
        <f>IF(ISERROR(VLOOKUP($C6,Database!$A:$I,I$1,FALSE)*$E6),0,VLOOKUP($C6,Database!$A:$I,I$1,FALSE)*$E6)</f>
        <v>0</v>
      </c>
      <c r="L6" s="70">
        <f>IF(ISERROR(VLOOKUP($C6,Database!$A:$I,J$1,FALSE)*$E6),0,VLOOKUP($C6,Database!$A:$I,J$1,FALSE)*$E6)</f>
        <v>1.2122610415293342E-2</v>
      </c>
      <c r="M6" s="71">
        <f>IF(ISERROR(VLOOKUP($C6,Database!$A:$I,K$1,FALSE)*$E6),0,VLOOKUP($C6,Database!$A:$I,K$1,FALSE)*$E6)</f>
        <v>0</v>
      </c>
      <c r="N6" s="77">
        <f>IF(ISERROR(VLOOKUP($C6,Database!$A:$J,10,FALSE)),0,VLOOKUP($C6,Database!$A:$J,10,FALSE)*$E6)</f>
        <v>0</v>
      </c>
    </row>
    <row r="7" spans="1:14" x14ac:dyDescent="0.15">
      <c r="A7" t="e">
        <f>#REF!</f>
        <v>#REF!</v>
      </c>
      <c r="B7" t="str">
        <f>Database!A9</f>
        <v>banana puree</v>
      </c>
      <c r="C7" s="67" t="s">
        <v>29</v>
      </c>
      <c r="D7" s="68">
        <v>0.8</v>
      </c>
      <c r="E7" s="70">
        <f t="shared" si="0"/>
        <v>1.3183915622940014E-3</v>
      </c>
      <c r="F7" s="70">
        <f>IF(ISERROR(VLOOKUP(#REF!,Database!$A:$I,D$1,FALSE)*$E7),0,VLOOKUP(#REF!,Database!$A:$I,D$1,FALSE)*$E7)</f>
        <v>0</v>
      </c>
      <c r="G7" s="70">
        <f>IF(ISERROR(VLOOKUP(#REF!,Database!$A:$I,E$1,FALSE)*$E7),0,VLOOKUP(#REF!,Database!$A:$I,E$1,FALSE)*$E7)</f>
        <v>0</v>
      </c>
      <c r="H7" s="70">
        <f>IF(ISERROR(VLOOKUP(#REF!,Database!$A:$I,F$1,FALSE)*$E7),0,VLOOKUP(#REF!,Database!$A:$I,F$1,FALSE)*$E7)</f>
        <v>0</v>
      </c>
      <c r="I7" s="70">
        <f>IF(ISERROR(VLOOKUP(#REF!,Database!$A:$I,G$1,FALSE)*$E7),0,VLOOKUP(#REF!,Database!$A:$I,G$1,FALSE)*$E7)</f>
        <v>0</v>
      </c>
      <c r="J7" s="70">
        <f>IF(ISERROR(VLOOKUP(#REF!,Database!$A:$I,H$1,FALSE)*$E7),0,VLOOKUP(#REF!,Database!$A:$I,H$1,FALSE)*$E7)</f>
        <v>0</v>
      </c>
      <c r="K7" s="70">
        <f>IF(ISERROR(VLOOKUP(#REF!,Database!$A:$I,I$1,FALSE)*$E7),0,VLOOKUP(#REF!,Database!$A:$I,I$1,FALSE)*$E7)</f>
        <v>0</v>
      </c>
      <c r="L7" s="70">
        <f>IF(ISERROR(VLOOKUP(#REF!,Database!$A:$I,J$1,FALSE)*$E7),0,VLOOKUP(#REF!,Database!$A:$I,J$1,FALSE)*$E7)</f>
        <v>0</v>
      </c>
      <c r="M7" s="71">
        <f>IF(ISERROR(VLOOKUP(#REF!,Database!$A:$I,K$1,FALSE)*$E7),0,VLOOKUP(#REF!,Database!$A:$I,K$1,FALSE)*$E7)</f>
        <v>0</v>
      </c>
      <c r="N7" s="77">
        <f>IF(ISERROR(VLOOKUP(#REF!,Database!$A:$J,10,FALSE)),0,VLOOKUP(#REF!,Database!$A:$J,10,FALSE)*$E7)</f>
        <v>0</v>
      </c>
    </row>
    <row r="8" spans="1:14" x14ac:dyDescent="0.15">
      <c r="A8" t="e">
        <f>#REF!</f>
        <v>#REF!</v>
      </c>
      <c r="B8" t="str">
        <f>Database!A10</f>
        <v>Barry Alto el Sol</v>
      </c>
      <c r="C8" s="26" t="s">
        <v>152</v>
      </c>
      <c r="D8" s="68">
        <v>3</v>
      </c>
      <c r="E8" s="70">
        <f t="shared" si="0"/>
        <v>4.9439683586025053E-3</v>
      </c>
      <c r="F8" s="70">
        <f>IF(ISERROR(VLOOKUP($C7,Database!$A:$I,D$1,FALSE)*$E8),0,VLOOKUP($C7,Database!$A:$I,D$1,FALSE)*$E8)</f>
        <v>4.0540540540540543E-3</v>
      </c>
      <c r="G8" s="70">
        <f>IF(ISERROR(VLOOKUP($C7,Database!$A:$I,E$1,FALSE)*$E8),0,VLOOKUP($C7,Database!$A:$I,E$1,FALSE)*$E8)</f>
        <v>0</v>
      </c>
      <c r="H8" s="70">
        <f>IF(ISERROR(VLOOKUP($C7,Database!$A:$I,F$1,FALSE)*$E8),0,VLOOKUP($C7,Database!$A:$I,F$1,FALSE)*$E8)</f>
        <v>0</v>
      </c>
      <c r="I8" s="70">
        <f>IF(ISERROR(VLOOKUP($C7,Database!$A:$I,G$1,FALSE)*$E8),0,VLOOKUP($C7,Database!$A:$I,G$1,FALSE)*$E8)</f>
        <v>0</v>
      </c>
      <c r="J8" s="70">
        <f>IF(ISERROR(VLOOKUP($C7,Database!$A:$I,H$1,FALSE)*$E8),0,VLOOKUP($C7,Database!$A:$I,H$1,FALSE)*$E8)</f>
        <v>0</v>
      </c>
      <c r="K8" s="70">
        <f>IF(ISERROR(VLOOKUP($C7,Database!$A:$I,I$1,FALSE)*$E8),0,VLOOKUP($C7,Database!$A:$I,I$1,FALSE)*$E8)</f>
        <v>0</v>
      </c>
      <c r="L8" s="70">
        <f>IF(ISERROR(VLOOKUP($C7,Database!$A:$I,J$1,FALSE)*$E8),0,VLOOKUP($C7,Database!$A:$I,J$1,FALSE)*$E8)</f>
        <v>8.8991430454845092E-4</v>
      </c>
      <c r="M8" s="71">
        <f>IF(ISERROR(VLOOKUP($C7,Database!$A:$I,K$1,FALSE)*$E8),0,VLOOKUP($C7,Database!$A:$I,K$1,FALSE)*$E8)</f>
        <v>0</v>
      </c>
      <c r="N8" s="77">
        <f>IF(ISERROR(VLOOKUP($C7,Database!$A:$J,10,FALSE)),0,VLOOKUP($C7,Database!$A:$J,10,FALSE)*$E8)</f>
        <v>6.2788398154251818E-3</v>
      </c>
    </row>
    <row r="9" spans="1:14" x14ac:dyDescent="0.15">
      <c r="A9" t="e">
        <f>#REF!</f>
        <v>#REF!</v>
      </c>
      <c r="B9" t="str">
        <f>Database!A11</f>
        <v>Barry Blanc Satin</v>
      </c>
      <c r="C9" s="67" t="s">
        <v>30</v>
      </c>
      <c r="D9" s="68">
        <v>33</v>
      </c>
      <c r="E9" s="70">
        <f>D9/$D$30</f>
        <v>5.4383651944627562E-2</v>
      </c>
      <c r="F9" s="70">
        <f>IF(ISERROR(VLOOKUP($C9,Database!$A:$I,D$1,FALSE)*$E9),0,VLOOKUP($C9,Database!$A:$I,D$1,FALSE)*$E9)</f>
        <v>5.4383651944627562E-2</v>
      </c>
      <c r="G9" s="70">
        <f>IF(ISERROR(VLOOKUP($C9,Database!$A:$I,E$1,FALSE)*$E9),0,VLOOKUP($C9,Database!$A:$I,E$1,FALSE)*$E9)</f>
        <v>0</v>
      </c>
      <c r="H9" s="70">
        <f>IF(ISERROR(VLOOKUP($C9,Database!$A:$I,F$1,FALSE)*$E9),0,VLOOKUP($C9,Database!$A:$I,F$1,FALSE)*$E9)</f>
        <v>0</v>
      </c>
      <c r="I9" s="70">
        <f>IF(ISERROR(VLOOKUP($C9,Database!$A:$I,G$1,FALSE)*$E9),0,VLOOKUP($C9,Database!$A:$I,G$1,FALSE)*$E9)</f>
        <v>0</v>
      </c>
      <c r="J9" s="70">
        <f>IF(ISERROR(VLOOKUP($C9,Database!$A:$I,H$1,FALSE)*$E9),0,VLOOKUP($C9,Database!$A:$I,H$1,FALSE)*$E9)</f>
        <v>0</v>
      </c>
      <c r="K9" s="70">
        <f>IF(ISERROR(VLOOKUP($C9,Database!$A:$I,I$1,FALSE)*$E9),0,VLOOKUP($C9,Database!$A:$I,I$1,FALSE)*$E9)</f>
        <v>0</v>
      </c>
      <c r="L9" s="70">
        <f>IF(ISERROR(VLOOKUP($C9,Database!$A:$I,J$1,FALSE)*$E9),0,VLOOKUP($C9,Database!$A:$I,J$1,FALSE)*$E9)</f>
        <v>0</v>
      </c>
      <c r="M9" s="71">
        <f>IF(ISERROR(VLOOKUP($C9,Database!$A:$I,K$1,FALSE)*$E9),0,VLOOKUP($C9,Database!$A:$I,K$1,FALSE)*$E9)</f>
        <v>0</v>
      </c>
      <c r="N9" s="77">
        <f>IF(ISERROR(VLOOKUP($C9,Database!$A:$J,10,FALSE)),0,VLOOKUP($C9,Database!$A:$J,10,FALSE)*$E9)</f>
        <v>2.7191825972313781E-2</v>
      </c>
    </row>
    <row r="10" spans="1:14" x14ac:dyDescent="0.15">
      <c r="A10" t="e">
        <f>#REF!</f>
        <v>#REF!</v>
      </c>
      <c r="B10" t="str">
        <f>Database!A12</f>
        <v>Barry Cuba</v>
      </c>
      <c r="C10" s="67" t="s">
        <v>14</v>
      </c>
      <c r="D10" s="68">
        <v>350</v>
      </c>
      <c r="E10" s="70">
        <f>D10/$D$30</f>
        <v>0.57679630850362562</v>
      </c>
      <c r="F10" s="70">
        <f>IF(ISERROR(VLOOKUP($C10,Database!$A:$I,D$1,FALSE)*$E10),0,VLOOKUP($C10,Database!$A:$I,D$1,FALSE)*$E10)</f>
        <v>0.24225444957152276</v>
      </c>
      <c r="G10" s="70">
        <f>IF(ISERROR(VLOOKUP($C10,Database!$A:$I,E$1,FALSE)*$E10),0,VLOOKUP($C10,Database!$A:$I,E$1,FALSE)*$E10)</f>
        <v>3.4607778510217534E-2</v>
      </c>
      <c r="H10" s="70">
        <f>IF(ISERROR(VLOOKUP($C10,Database!$A:$I,F$1,FALSE)*$E10),0,VLOOKUP($C10,Database!$A:$I,F$1,FALSE)*$E10)</f>
        <v>0.17303889255108768</v>
      </c>
      <c r="I10" s="70">
        <f>IF(ISERROR(VLOOKUP($C10,Database!$A:$I,G$1,FALSE)*$E10),0,VLOOKUP($C10,Database!$A:$I,G$1,FALSE)*$E10)</f>
        <v>9.517139090309823E-2</v>
      </c>
      <c r="J10" s="70">
        <f>IF(ISERROR(VLOOKUP($C10,Database!$A:$I,H$1,FALSE)*$E10),0,VLOOKUP($C10,Database!$A:$I,H$1,FALSE)*$E10)</f>
        <v>1.7303889255108767E-2</v>
      </c>
      <c r="K10" s="70">
        <f>IF(ISERROR(VLOOKUP($C10,Database!$A:$I,I$1,FALSE)*$E10),0,VLOOKUP($C10,Database!$A:$I,I$1,FALSE)*$E10)</f>
        <v>0</v>
      </c>
      <c r="L10" s="70">
        <f>IF(ISERROR(VLOOKUP($C10,Database!$A:$I,J$1,FALSE)*$E10),0,VLOOKUP($C10,Database!$A:$I,J$1,FALSE)*$E10)</f>
        <v>0</v>
      </c>
      <c r="M10" s="71">
        <f>IF(ISERROR(VLOOKUP($C10,Database!$A:$I,K$1,FALSE)*$E10),0,VLOOKUP($C10,Database!$A:$I,K$1,FALSE)*$E10)</f>
        <v>0</v>
      </c>
      <c r="N10" s="77">
        <f>IF(ISERROR(VLOOKUP($C10,Database!$A:$J,10,FALSE)),0,VLOOKUP($C10,Database!$A:$J,10,FALSE)*$E10)</f>
        <v>0.24225444957152276</v>
      </c>
    </row>
    <row r="11" spans="1:14" x14ac:dyDescent="0.15">
      <c r="A11" t="e">
        <f>#REF!</f>
        <v>#REF!</v>
      </c>
      <c r="B11" t="str">
        <f>Database!A13</f>
        <v>Barry Excellence</v>
      </c>
      <c r="C11" s="67" t="s">
        <v>123</v>
      </c>
      <c r="D11" s="68">
        <v>170</v>
      </c>
      <c r="E11" s="70">
        <f t="shared" si="0"/>
        <v>0.28015820698747529</v>
      </c>
      <c r="F11" s="70">
        <f>IF(ISERROR(VLOOKUP($C11,Database!$A:$I,D$1,FALSE)*$E11),0,VLOOKUP($C11,Database!$A:$I,D$1,FALSE)*$E11)</f>
        <v>5.9113381674357285E-2</v>
      </c>
      <c r="G11" s="70">
        <f>IF(ISERROR(VLOOKUP($C11,Database!$A:$I,E$1,FALSE)*$E11),0,VLOOKUP($C11,Database!$A:$I,E$1,FALSE)*$E11)</f>
        <v>0</v>
      </c>
      <c r="H11" s="70">
        <f>IF(ISERROR(VLOOKUP($C11,Database!$A:$I,F$1,FALSE)*$E11),0,VLOOKUP($C11,Database!$A:$I,F$1,FALSE)*$E11)</f>
        <v>0</v>
      </c>
      <c r="I11" s="70">
        <f>IF(ISERROR(VLOOKUP($C11,Database!$A:$I,G$1,FALSE)*$E11),0,VLOOKUP($C11,Database!$A:$I,G$1,FALSE)*$E11)</f>
        <v>0</v>
      </c>
      <c r="J11" s="70">
        <f>IF(ISERROR(VLOOKUP($C11,Database!$A:$I,H$1,FALSE)*$E11),0,VLOOKUP($C11,Database!$A:$I,H$1,FALSE)*$E11)</f>
        <v>0</v>
      </c>
      <c r="K11" s="70">
        <f>IF(ISERROR(VLOOKUP($C11,Database!$A:$I,I$1,FALSE)*$E11),0,VLOOKUP($C11,Database!$A:$I,I$1,FALSE)*$E11)</f>
        <v>0</v>
      </c>
      <c r="L11" s="70">
        <f>IF(ISERROR(VLOOKUP($C11,Database!$A:$I,J$1,FALSE)*$E11),0,VLOOKUP($C11,Database!$A:$I,J$1,FALSE)*$E11)</f>
        <v>0.20479564930784444</v>
      </c>
      <c r="M11" s="71">
        <f>IF(ISERROR(VLOOKUP($C11,Database!$A:$I,K$1,FALSE)*$E11),0,VLOOKUP($C11,Database!$A:$I,K$1,FALSE)*$E11)</f>
        <v>0</v>
      </c>
      <c r="N11" s="77">
        <f>IF(ISERROR(VLOOKUP($C11,Database!$A:$J,10,FALSE)),0,VLOOKUP($C11,Database!$A:$J,10,FALSE)*$E11)</f>
        <v>5.9113381674357285E-2</v>
      </c>
    </row>
    <row r="12" spans="1:14" x14ac:dyDescent="0.15">
      <c r="A12" t="e">
        <f>#REF!</f>
        <v>#REF!</v>
      </c>
      <c r="B12" t="str">
        <f>Database!A14</f>
        <v xml:space="preserve">Barry Extra bitter </v>
      </c>
      <c r="C12" s="116" t="s">
        <v>8</v>
      </c>
      <c r="D12" s="68">
        <v>3</v>
      </c>
      <c r="E12" s="70">
        <f>D12/$D$30</f>
        <v>4.9439683586025053E-3</v>
      </c>
      <c r="F12" s="70">
        <f>IF(ISERROR(VLOOKUP($C12,Database!$A:$I,D$1,FALSE)*$E12),0,VLOOKUP($C12,Database!$A:$I,D$1,FALSE)*$E12)</f>
        <v>0</v>
      </c>
      <c r="G12" s="70">
        <f>IF(ISERROR(VLOOKUP($C12,Database!$A:$I,E$1,FALSE)*$E12),0,VLOOKUP($C12,Database!$A:$I,E$1,FALSE)*$E12)</f>
        <v>4.0540540540540543E-3</v>
      </c>
      <c r="H12" s="70">
        <f>IF(ISERROR(VLOOKUP($C12,Database!$A:$I,F$1,FALSE)*$E12),0,VLOOKUP($C12,Database!$A:$I,F$1,FALSE)*$E12)</f>
        <v>0</v>
      </c>
      <c r="I12" s="70">
        <f>IF(ISERROR(VLOOKUP($C12,Database!$A:$I,G$1,FALSE)*$E12),0,VLOOKUP($C12,Database!$A:$I,G$1,FALSE)*$E12)</f>
        <v>9.8879367172050102E-5</v>
      </c>
      <c r="J12" s="70">
        <f>IF(ISERROR(VLOOKUP($C12,Database!$A:$I,H$1,FALSE)*$E12),0,VLOOKUP($C12,Database!$A:$I,H$1,FALSE)*$E12)</f>
        <v>0</v>
      </c>
      <c r="K12" s="70">
        <f>IF(ISERROR(VLOOKUP($C12,Database!$A:$I,I$1,FALSE)*$E12),0,VLOOKUP($C12,Database!$A:$I,I$1,FALSE)*$E12)</f>
        <v>0</v>
      </c>
      <c r="L12" s="70">
        <f>IF(ISERROR(VLOOKUP($C12,Database!$A:$I,J$1,FALSE)*$E12),0,VLOOKUP($C12,Database!$A:$I,J$1,FALSE)*$E12)</f>
        <v>7.9103493737640081E-4</v>
      </c>
      <c r="M12" s="71">
        <f>IF(ISERROR(VLOOKUP($C12,Database!$A:$I,K$1,FALSE)*$E12),0,VLOOKUP($C12,Database!$A:$I,K$1,FALSE)*$E12)</f>
        <v>0</v>
      </c>
      <c r="N12" s="77">
        <f>IF(ISERROR(VLOOKUP($C12,Database!$A:$J,10,FALSE)),0,VLOOKUP($C12,Database!$A:$J,10,FALSE)*$E12)</f>
        <v>0</v>
      </c>
    </row>
    <row r="13" spans="1:14" x14ac:dyDescent="0.15">
      <c r="A13" t="e">
        <f>#REF!</f>
        <v>#REF!</v>
      </c>
      <c r="B13" t="str">
        <f>Database!A15</f>
        <v>Barry Fleur de Cao</v>
      </c>
      <c r="C13" s="125"/>
      <c r="D13" s="68">
        <v>35</v>
      </c>
      <c r="E13" s="70">
        <f>D13/$D$30</f>
        <v>5.7679630850362561E-2</v>
      </c>
      <c r="F13" s="70">
        <f>IF(ISERROR(VLOOKUP($C13,Database!$A:$I,D$1,FALSE)*$E13),0,VLOOKUP($C13,Database!$A:$I,D$1,FALSE)*$E13)</f>
        <v>0</v>
      </c>
      <c r="G13" s="70">
        <f>IF(ISERROR(VLOOKUP($C13,Database!$A:$I,E$1,FALSE)*$E13),0,VLOOKUP($C13,Database!$A:$I,E$1,FALSE)*$E13)</f>
        <v>0</v>
      </c>
      <c r="H13" s="70">
        <f>IF(ISERROR(VLOOKUP($C13,Database!$A:$I,F$1,FALSE)*$E13),0,VLOOKUP($C13,Database!$A:$I,F$1,FALSE)*$E13)</f>
        <v>0</v>
      </c>
      <c r="I13" s="70">
        <f>IF(ISERROR(VLOOKUP($C13,Database!$A:$I,G$1,FALSE)*$E13),0,VLOOKUP($C13,Database!$A:$I,G$1,FALSE)*$E13)</f>
        <v>0</v>
      </c>
      <c r="J13" s="70">
        <f>IF(ISERROR(VLOOKUP($C13,Database!$A:$I,H$1,FALSE)*$E13),0,VLOOKUP($C13,Database!$A:$I,H$1,FALSE)*$E13)</f>
        <v>0</v>
      </c>
      <c r="K13" s="70">
        <f>IF(ISERROR(VLOOKUP($C13,Database!$A:$I,I$1,FALSE)*$E13),0,VLOOKUP($C13,Database!$A:$I,I$1,FALSE)*$E13)</f>
        <v>0</v>
      </c>
      <c r="L13" s="70">
        <f>IF(ISERROR(VLOOKUP($C13,Database!$A:$I,J$1,FALSE)*$E13),0,VLOOKUP($C13,Database!$A:$I,J$1,FALSE)*$E13)</f>
        <v>0</v>
      </c>
      <c r="M13" s="71">
        <f>IF(ISERROR(VLOOKUP($C13,Database!$A:$I,K$1,FALSE)*$E13),0,VLOOKUP($C13,Database!$A:$I,K$1,FALSE)*$E13)</f>
        <v>0</v>
      </c>
      <c r="N13" s="77">
        <f>IF(ISERROR(VLOOKUP($C13,Database!$A:$J,10,FALSE)),0,VLOOKUP($C13,Database!$A:$J,10,FALSE)*$E13)</f>
        <v>0</v>
      </c>
    </row>
    <row r="14" spans="1:14" x14ac:dyDescent="0.15">
      <c r="C14" s="116"/>
      <c r="D14" s="69"/>
      <c r="E14" s="70">
        <f t="shared" si="0"/>
        <v>0</v>
      </c>
      <c r="F14" s="70">
        <f>IF(ISERROR(VLOOKUP($C14,Database!$A:$I,D$1,FALSE)*$E14),0,VLOOKUP($C14,Database!$A:$I,D$1,FALSE)*$E14)</f>
        <v>0</v>
      </c>
      <c r="G14" s="70">
        <f>IF(ISERROR(VLOOKUP($C14,Database!$A:$I,E$1,FALSE)*$E14),0,VLOOKUP($C14,Database!$A:$I,E$1,FALSE)*$E14)</f>
        <v>0</v>
      </c>
      <c r="H14" s="70">
        <f>IF(ISERROR(VLOOKUP($C14,Database!$A:$I,F$1,FALSE)*$E14),0,VLOOKUP($C14,Database!$A:$I,F$1,FALSE)*$E14)</f>
        <v>0</v>
      </c>
      <c r="I14" s="70">
        <f>IF(ISERROR(VLOOKUP($C14,Database!$A:$I,G$1,FALSE)*$E14),0,VLOOKUP($C14,Database!$A:$I,G$1,FALSE)*$E14)</f>
        <v>0</v>
      </c>
      <c r="J14" s="70">
        <f>IF(ISERROR(VLOOKUP($C14,Database!$A:$I,H$1,FALSE)*$E14),0,VLOOKUP($C14,Database!$A:$I,H$1,FALSE)*$E14)</f>
        <v>0</v>
      </c>
      <c r="K14" s="70">
        <f>IF(ISERROR(VLOOKUP($C14,Database!$A:$I,I$1,FALSE)*$E14),0,VLOOKUP($C14,Database!$A:$I,I$1,FALSE)*$E14)</f>
        <v>0</v>
      </c>
      <c r="L14" s="70">
        <f>IF(ISERROR(VLOOKUP($C14,Database!$A:$I,J$1,FALSE)*$E14),0,VLOOKUP($C14,Database!$A:$I,J$1,FALSE)*$E14)</f>
        <v>0</v>
      </c>
      <c r="M14" s="71">
        <f>IF(ISERROR(VLOOKUP($C14,Database!$A:$I,K$1,FALSE)*$E14),0,VLOOKUP($C14,Database!$A:$I,K$1,FALSE)*$E14)</f>
        <v>0</v>
      </c>
      <c r="N14" s="77">
        <f>IF(ISERROR(VLOOKUP($C14,Database!$A:$J,10,FALSE)),0,VLOOKUP($C14,Database!$A:$J,10,FALSE)*$E14)</f>
        <v>0</v>
      </c>
    </row>
    <row r="15" spans="1:14" x14ac:dyDescent="0.15">
      <c r="A15" t="e">
        <f>#REF!</f>
        <v>#REF!</v>
      </c>
      <c r="B15" t="str">
        <f>Database!A17</f>
        <v>Barry Lactee Superieure</v>
      </c>
      <c r="C15" s="67"/>
      <c r="D15" s="69"/>
      <c r="E15" s="70">
        <f t="shared" si="0"/>
        <v>0</v>
      </c>
      <c r="F15" s="70">
        <f>IF(ISERROR(VLOOKUP($C15,Database!$A:$I,D$1,FALSE)*$E15),0,VLOOKUP($C15,Database!$A:$I,D$1,FALSE)*$E15)</f>
        <v>0</v>
      </c>
      <c r="G15" s="70">
        <f>IF(ISERROR(VLOOKUP($C15,Database!$A:$I,E$1,FALSE)*$E15),0,VLOOKUP($C15,Database!$A:$I,E$1,FALSE)*$E15)</f>
        <v>0</v>
      </c>
      <c r="H15" s="70">
        <f>IF(ISERROR(VLOOKUP($C15,Database!$A:$I,F$1,FALSE)*$E15),0,VLOOKUP($C15,Database!$A:$I,F$1,FALSE)*$E15)</f>
        <v>0</v>
      </c>
      <c r="I15" s="70">
        <f>IF(ISERROR(VLOOKUP($C15,Database!$A:$I,G$1,FALSE)*$E15),0,VLOOKUP($C15,Database!$A:$I,G$1,FALSE)*$E15)</f>
        <v>0</v>
      </c>
      <c r="J15" s="70">
        <f>IF(ISERROR(VLOOKUP($C15,Database!$A:$I,H$1,FALSE)*$E15),0,VLOOKUP($C15,Database!$A:$I,H$1,FALSE)*$E15)</f>
        <v>0</v>
      </c>
      <c r="K15" s="70">
        <f>IF(ISERROR(VLOOKUP($C15,Database!$A:$I,I$1,FALSE)*$E15),0,VLOOKUP($C15,Database!$A:$I,I$1,FALSE)*$E15)</f>
        <v>0</v>
      </c>
      <c r="L15" s="70">
        <f>IF(ISERROR(VLOOKUP($C15,Database!$A:$I,J$1,FALSE)*$E15),0,VLOOKUP($C15,Database!$A:$I,J$1,FALSE)*$E15)</f>
        <v>0</v>
      </c>
      <c r="M15" s="71">
        <f>IF(ISERROR(VLOOKUP($C15,Database!$A:$I,K$1,FALSE)*$E15),0,VLOOKUP($C15,Database!$A:$I,K$1,FALSE)*$E15)</f>
        <v>0</v>
      </c>
      <c r="N15" s="77">
        <f>IF(ISERROR(VLOOKUP($C15,Database!$A:$J,10,FALSE)),0,VLOOKUP($C15,Database!$A:$J,10,FALSE)*$E15)</f>
        <v>0</v>
      </c>
    </row>
    <row r="16" spans="1:14" x14ac:dyDescent="0.15">
      <c r="A16" t="e">
        <f>#REF!</f>
        <v>#REF!</v>
      </c>
      <c r="B16" t="str">
        <f>Database!A18</f>
        <v>Barry Mexique</v>
      </c>
      <c r="C16" s="67"/>
      <c r="D16" s="69"/>
      <c r="E16" s="70">
        <f t="shared" si="0"/>
        <v>0</v>
      </c>
      <c r="F16" s="70">
        <f>IF(ISERROR(VLOOKUP($C16,Database!$A:$I,D$1,FALSE)*$E16),0,VLOOKUP($C16,Database!$A:$I,D$1,FALSE)*$E16)</f>
        <v>0</v>
      </c>
      <c r="G16" s="70">
        <f>IF(ISERROR(VLOOKUP($C16,Database!$A:$I,E$1,FALSE)*$E16),0,VLOOKUP($C16,Database!$A:$I,E$1,FALSE)*$E16)</f>
        <v>0</v>
      </c>
      <c r="H16" s="70">
        <f>IF(ISERROR(VLOOKUP($C16,Database!$A:$I,F$1,FALSE)*$E16),0,VLOOKUP($C16,Database!$A:$I,F$1,FALSE)*$E16)</f>
        <v>0</v>
      </c>
      <c r="I16" s="70">
        <f>IF(ISERROR(VLOOKUP($C16,Database!$A:$I,G$1,FALSE)*$E16),0,VLOOKUP($C16,Database!$A:$I,G$1,FALSE)*$E16)</f>
        <v>0</v>
      </c>
      <c r="J16" s="70">
        <f>IF(ISERROR(VLOOKUP($C16,Database!$A:$I,H$1,FALSE)*$E16),0,VLOOKUP($C16,Database!$A:$I,H$1,FALSE)*$E16)</f>
        <v>0</v>
      </c>
      <c r="K16" s="70">
        <f>IF(ISERROR(VLOOKUP($C16,Database!$A:$I,I$1,FALSE)*$E16),0,VLOOKUP($C16,Database!$A:$I,I$1,FALSE)*$E16)</f>
        <v>0</v>
      </c>
      <c r="L16" s="70">
        <f>IF(ISERROR(VLOOKUP($C16,Database!$A:$I,J$1,FALSE)*$E16),0,VLOOKUP($C16,Database!$A:$I,J$1,FALSE)*$E16)</f>
        <v>0</v>
      </c>
      <c r="M16" s="71">
        <f>IF(ISERROR(VLOOKUP($C16,Database!$A:$I,K$1,FALSE)*$E16),0,VLOOKUP($C16,Database!$A:$I,K$1,FALSE)*$E16)</f>
        <v>0</v>
      </c>
      <c r="N16" s="77">
        <f>IF(ISERROR(VLOOKUP($C16,Database!$A:$J,10,FALSE)),0,VLOOKUP($C16,Database!$A:$J,10,FALSE)*$E16)</f>
        <v>0</v>
      </c>
    </row>
    <row r="17" spans="1:14" x14ac:dyDescent="0.15">
      <c r="A17" t="e">
        <f>#REF!</f>
        <v>#REF!</v>
      </c>
      <c r="B17" t="str">
        <f>Database!A19</f>
        <v>Barry Papouasie</v>
      </c>
      <c r="C17" s="67"/>
      <c r="D17" s="69"/>
      <c r="E17" s="70">
        <f t="shared" si="0"/>
        <v>0</v>
      </c>
      <c r="F17" s="70">
        <f>IF(ISERROR(VLOOKUP($C17,Database!$A:$I,D$1,FALSE)*$E17),0,VLOOKUP($C17,Database!$A:$I,D$1,FALSE)*$E17)</f>
        <v>0</v>
      </c>
      <c r="G17" s="70">
        <f>IF(ISERROR(VLOOKUP($C17,Database!$A:$I,E$1,FALSE)*$E17),0,VLOOKUP($C17,Database!$A:$I,E$1,FALSE)*$E17)</f>
        <v>0</v>
      </c>
      <c r="H17" s="70">
        <f>IF(ISERROR(VLOOKUP($C17,Database!$A:$I,F$1,FALSE)*$E17),0,VLOOKUP($C17,Database!$A:$I,F$1,FALSE)*$E17)</f>
        <v>0</v>
      </c>
      <c r="I17" s="70">
        <f>IF(ISERROR(VLOOKUP($C17,Database!$A:$I,G$1,FALSE)*$E17),0,VLOOKUP($C17,Database!$A:$I,G$1,FALSE)*$E17)</f>
        <v>0</v>
      </c>
      <c r="J17" s="70">
        <f>IF(ISERROR(VLOOKUP($C17,Database!$A:$I,H$1,FALSE)*$E17),0,VLOOKUP($C17,Database!$A:$I,H$1,FALSE)*$E17)</f>
        <v>0</v>
      </c>
      <c r="K17" s="70">
        <f>IF(ISERROR(VLOOKUP($C17,Database!$A:$I,I$1,FALSE)*$E17),0,VLOOKUP($C17,Database!$A:$I,I$1,FALSE)*$E17)</f>
        <v>0</v>
      </c>
      <c r="L17" s="70">
        <f>IF(ISERROR(VLOOKUP($C17,Database!$A:$I,J$1,FALSE)*$E17),0,VLOOKUP($C17,Database!$A:$I,J$1,FALSE)*$E17)</f>
        <v>0</v>
      </c>
      <c r="M17" s="71">
        <f>IF(ISERROR(VLOOKUP($C17,Database!$A:$I,K$1,FALSE)*$E17),0,VLOOKUP($C17,Database!$A:$I,K$1,FALSE)*$E17)</f>
        <v>0</v>
      </c>
      <c r="N17" s="77">
        <f>IF(ISERROR(VLOOKUP($C17,Database!$A:$J,10,FALSE)),0,VLOOKUP($C17,Database!$A:$J,10,FALSE)*$E17)</f>
        <v>0</v>
      </c>
    </row>
    <row r="18" spans="1:14" x14ac:dyDescent="0.15">
      <c r="A18" t="e">
        <f>#REF!</f>
        <v>#REF!</v>
      </c>
      <c r="B18" t="str">
        <f>Database!A20</f>
        <v>Barry Saint Dominique</v>
      </c>
      <c r="C18" s="67"/>
      <c r="D18" s="69"/>
      <c r="E18" s="70">
        <f t="shared" si="0"/>
        <v>0</v>
      </c>
      <c r="F18" s="70">
        <f>IF(ISERROR(VLOOKUP($C18,Database!$A:$I,D$1,FALSE)*$E18),0,VLOOKUP($C18,Database!$A:$I,D$1,FALSE)*$E18)</f>
        <v>0</v>
      </c>
      <c r="G18" s="70">
        <f>IF(ISERROR(VLOOKUP($C18,Database!$A:$I,E$1,FALSE)*$E18),0,VLOOKUP($C18,Database!$A:$I,E$1,FALSE)*$E18)</f>
        <v>0</v>
      </c>
      <c r="H18" s="70">
        <f>IF(ISERROR(VLOOKUP($C18,Database!$A:$I,F$1,FALSE)*$E18),0,VLOOKUP($C18,Database!$A:$I,F$1,FALSE)*$E18)</f>
        <v>0</v>
      </c>
      <c r="I18" s="70">
        <f>IF(ISERROR(VLOOKUP($C18,Database!$A:$I,G$1,FALSE)*$E18),0,VLOOKUP($C18,Database!$A:$I,G$1,FALSE)*$E18)</f>
        <v>0</v>
      </c>
      <c r="J18" s="70">
        <f>IF(ISERROR(VLOOKUP($C18,Database!$A:$I,H$1,FALSE)*$E18),0,VLOOKUP($C18,Database!$A:$I,H$1,FALSE)*$E18)</f>
        <v>0</v>
      </c>
      <c r="K18" s="70">
        <f>IF(ISERROR(VLOOKUP($C18,Database!$A:$I,I$1,FALSE)*$E18),0,VLOOKUP($C18,Database!$A:$I,I$1,FALSE)*$E18)</f>
        <v>0</v>
      </c>
      <c r="L18" s="70">
        <f>IF(ISERROR(VLOOKUP($C18,Database!$A:$I,J$1,FALSE)*$E18),0,VLOOKUP($C18,Database!$A:$I,J$1,FALSE)*$E18)</f>
        <v>0</v>
      </c>
      <c r="M18" s="71">
        <f>IF(ISERROR(VLOOKUP($C18,Database!$A:$I,K$1,FALSE)*$E18),0,VLOOKUP($C18,Database!$A:$I,K$1,FALSE)*$E18)</f>
        <v>0</v>
      </c>
      <c r="N18" s="77">
        <f>IF(ISERROR(VLOOKUP($C18,Database!$A:$J,10,FALSE)),0,VLOOKUP($C18,Database!$A:$J,10,FALSE)*$E18)</f>
        <v>0</v>
      </c>
    </row>
    <row r="19" spans="1:14" x14ac:dyDescent="0.15">
      <c r="A19" t="e">
        <f>#REF!</f>
        <v>#REF!</v>
      </c>
      <c r="B19" t="str">
        <f>Database!A21</f>
        <v>Barry Tanzanie</v>
      </c>
      <c r="C19" s="67"/>
      <c r="D19" s="69"/>
      <c r="E19" s="70">
        <f t="shared" si="0"/>
        <v>0</v>
      </c>
      <c r="F19" s="70">
        <f>IF(ISERROR(VLOOKUP($C19,Database!$A:$I,D$1,FALSE)*$E19),0,VLOOKUP($C19,Database!$A:$I,D$1,FALSE)*$E19)</f>
        <v>0</v>
      </c>
      <c r="G19" s="70">
        <f>IF(ISERROR(VLOOKUP($C19,Database!$A:$I,E$1,FALSE)*$E19),0,VLOOKUP($C19,Database!$A:$I,E$1,FALSE)*$E19)</f>
        <v>0</v>
      </c>
      <c r="H19" s="70">
        <f>IF(ISERROR(VLOOKUP($C19,Database!$A:$I,F$1,FALSE)*$E19),0,VLOOKUP($C19,Database!$A:$I,F$1,FALSE)*$E19)</f>
        <v>0</v>
      </c>
      <c r="I19" s="70">
        <f>IF(ISERROR(VLOOKUP($C19,Database!$A:$I,G$1,FALSE)*$E19),0,VLOOKUP($C19,Database!$A:$I,G$1,FALSE)*$E19)</f>
        <v>0</v>
      </c>
      <c r="J19" s="70">
        <f>IF(ISERROR(VLOOKUP($C19,Database!$A:$I,H$1,FALSE)*$E19),0,VLOOKUP($C19,Database!$A:$I,H$1,FALSE)*$E19)</f>
        <v>0</v>
      </c>
      <c r="K19" s="70">
        <f>IF(ISERROR(VLOOKUP($C19,Database!$A:$I,I$1,FALSE)*$E19),0,VLOOKUP($C19,Database!$A:$I,I$1,FALSE)*$E19)</f>
        <v>0</v>
      </c>
      <c r="L19" s="70">
        <f>IF(ISERROR(VLOOKUP($C19,Database!$A:$I,J$1,FALSE)*$E19),0,VLOOKUP($C19,Database!$A:$I,J$1,FALSE)*$E19)</f>
        <v>0</v>
      </c>
      <c r="M19" s="71">
        <f>IF(ISERROR(VLOOKUP($C19,Database!$A:$I,K$1,FALSE)*$E19),0,VLOOKUP($C19,Database!$A:$I,K$1,FALSE)*$E19)</f>
        <v>0</v>
      </c>
      <c r="N19" s="77">
        <f>IF(ISERROR(VLOOKUP($C19,Database!$A:$J,10,FALSE)),0,VLOOKUP($C19,Database!$A:$J,10,FALSE)*$E19)</f>
        <v>0</v>
      </c>
    </row>
    <row r="20" spans="1:14" x14ac:dyDescent="0.15">
      <c r="A20" t="e">
        <f>#REF!</f>
        <v>#REF!</v>
      </c>
      <c r="B20" t="str">
        <f>Database!A22</f>
        <v>Barry Zephyr</v>
      </c>
      <c r="C20" s="67"/>
      <c r="D20" s="69"/>
      <c r="E20" s="70">
        <f t="shared" si="0"/>
        <v>0</v>
      </c>
      <c r="F20" s="70">
        <f>IF(ISERROR(VLOOKUP($C20,Database!$A:$I,D$1,FALSE)*$E20),0,VLOOKUP($C20,Database!$A:$I,D$1,FALSE)*$E20)</f>
        <v>0</v>
      </c>
      <c r="G20" s="70">
        <f>IF(ISERROR(VLOOKUP($C20,Database!$A:$I,E$1,FALSE)*$E20),0,VLOOKUP($C20,Database!$A:$I,E$1,FALSE)*$E20)</f>
        <v>0</v>
      </c>
      <c r="H20" s="70">
        <f>IF(ISERROR(VLOOKUP($C20,Database!$A:$I,F$1,FALSE)*$E20),0,VLOOKUP($C20,Database!$A:$I,F$1,FALSE)*$E20)</f>
        <v>0</v>
      </c>
      <c r="I20" s="70">
        <f>IF(ISERROR(VLOOKUP($C20,Database!$A:$I,G$1,FALSE)*$E20),0,VLOOKUP($C20,Database!$A:$I,G$1,FALSE)*$E20)</f>
        <v>0</v>
      </c>
      <c r="J20" s="70">
        <f>IF(ISERROR(VLOOKUP($C20,Database!$A:$I,H$1,FALSE)*$E20),0,VLOOKUP($C20,Database!$A:$I,H$1,FALSE)*$E20)</f>
        <v>0</v>
      </c>
      <c r="K20" s="70">
        <f>IF(ISERROR(VLOOKUP($C20,Database!$A:$I,I$1,FALSE)*$E20),0,VLOOKUP($C20,Database!$A:$I,I$1,FALSE)*$E20)</f>
        <v>0</v>
      </c>
      <c r="L20" s="70">
        <f>IF(ISERROR(VLOOKUP($C20,Database!$A:$I,J$1,FALSE)*$E20),0,VLOOKUP($C20,Database!$A:$I,J$1,FALSE)*$E20)</f>
        <v>0</v>
      </c>
      <c r="M20" s="71">
        <f>IF(ISERROR(VLOOKUP($C20,Database!$A:$I,K$1,FALSE)*$E20),0,VLOOKUP($C20,Database!$A:$I,K$1,FALSE)*$E20)</f>
        <v>0</v>
      </c>
      <c r="N20" s="77">
        <f>IF(ISERROR(VLOOKUP($C20,Database!$A:$J,10,FALSE)),0,VLOOKUP($C20,Database!$A:$J,10,FALSE)*$E20)</f>
        <v>0</v>
      </c>
    </row>
    <row r="21" spans="1:14" x14ac:dyDescent="0.15">
      <c r="A21" t="e">
        <f>#REF!</f>
        <v>#REF!</v>
      </c>
      <c r="B21" t="str">
        <f>Database!A23</f>
        <v>bergamote</v>
      </c>
      <c r="C21" s="67"/>
      <c r="D21" s="69"/>
      <c r="E21" s="70">
        <f t="shared" si="0"/>
        <v>0</v>
      </c>
      <c r="F21" s="70">
        <f>IF(ISERROR(VLOOKUP($C21,Database!$A:$I,D$1,FALSE)*$E21),0,VLOOKUP($C21,Database!$A:$I,D$1,FALSE)*$E21)</f>
        <v>0</v>
      </c>
      <c r="G21" s="70">
        <f>IF(ISERROR(VLOOKUP($C21,Database!$A:$I,E$1,FALSE)*$E21),0,VLOOKUP($C21,Database!$A:$I,E$1,FALSE)*$E21)</f>
        <v>0</v>
      </c>
      <c r="H21" s="70">
        <f>IF(ISERROR(VLOOKUP($C21,Database!$A:$I,F$1,FALSE)*$E21),0,VLOOKUP($C21,Database!$A:$I,F$1,FALSE)*$E21)</f>
        <v>0</v>
      </c>
      <c r="I21" s="70">
        <f>IF(ISERROR(VLOOKUP($C21,Database!$A:$I,G$1,FALSE)*$E21),0,VLOOKUP($C21,Database!$A:$I,G$1,FALSE)*$E21)</f>
        <v>0</v>
      </c>
      <c r="J21" s="70">
        <f>IF(ISERROR(VLOOKUP($C21,Database!$A:$I,H$1,FALSE)*$E21),0,VLOOKUP($C21,Database!$A:$I,H$1,FALSE)*$E21)</f>
        <v>0</v>
      </c>
      <c r="K21" s="70">
        <f>IF(ISERROR(VLOOKUP($C21,Database!$A:$I,I$1,FALSE)*$E21),0,VLOOKUP($C21,Database!$A:$I,I$1,FALSE)*$E21)</f>
        <v>0</v>
      </c>
      <c r="L21" s="70">
        <f>IF(ISERROR(VLOOKUP($C21,Database!$A:$I,J$1,FALSE)*$E21),0,VLOOKUP($C21,Database!$A:$I,J$1,FALSE)*$E21)</f>
        <v>0</v>
      </c>
      <c r="M21" s="71">
        <f>IF(ISERROR(VLOOKUP($C21,Database!$A:$I,K$1,FALSE)*$E21),0,VLOOKUP($C21,Database!$A:$I,K$1,FALSE)*$E21)</f>
        <v>0</v>
      </c>
      <c r="N21" s="77">
        <f>IF(ISERROR(VLOOKUP($C21,Database!$A:$J,10,FALSE)),0,VLOOKUP($C21,Database!$A:$J,10,FALSE)*$E21)</f>
        <v>0</v>
      </c>
    </row>
    <row r="22" spans="1:14" x14ac:dyDescent="0.15">
      <c r="A22" t="e">
        <f>#REF!</f>
        <v>#REF!</v>
      </c>
      <c r="B22" t="str">
        <f>Database!A24</f>
        <v>butter noisette</v>
      </c>
      <c r="C22" s="67"/>
      <c r="D22" s="69"/>
      <c r="E22" s="70">
        <f t="shared" si="0"/>
        <v>0</v>
      </c>
      <c r="F22" s="70">
        <f>IF(ISERROR(VLOOKUP($C22,Database!$A:$I,D$1,FALSE)*$E22),0,VLOOKUP($C22,Database!$A:$I,D$1,FALSE)*$E22)</f>
        <v>0</v>
      </c>
      <c r="G22" s="70">
        <f>IF(ISERROR(VLOOKUP($C22,Database!$A:$I,E$1,FALSE)*$E22),0,VLOOKUP($C22,Database!$A:$I,E$1,FALSE)*$E22)</f>
        <v>0</v>
      </c>
      <c r="H22" s="70">
        <f>IF(ISERROR(VLOOKUP($C22,Database!$A:$I,F$1,FALSE)*$E22),0,VLOOKUP($C22,Database!$A:$I,F$1,FALSE)*$E22)</f>
        <v>0</v>
      </c>
      <c r="I22" s="70">
        <f>IF(ISERROR(VLOOKUP($C22,Database!$A:$I,G$1,FALSE)*$E22),0,VLOOKUP($C22,Database!$A:$I,G$1,FALSE)*$E22)</f>
        <v>0</v>
      </c>
      <c r="J22" s="70">
        <f>IF(ISERROR(VLOOKUP($C22,Database!$A:$I,H$1,FALSE)*$E22),0,VLOOKUP($C22,Database!$A:$I,H$1,FALSE)*$E22)</f>
        <v>0</v>
      </c>
      <c r="K22" s="70">
        <f>IF(ISERROR(VLOOKUP($C22,Database!$A:$I,I$1,FALSE)*$E22),0,VLOOKUP($C22,Database!$A:$I,I$1,FALSE)*$E22)</f>
        <v>0</v>
      </c>
      <c r="L22" s="70">
        <f>IF(ISERROR(VLOOKUP($C22,Database!$A:$I,J$1,FALSE)*$E22),0,VLOOKUP($C22,Database!$A:$I,J$1,FALSE)*$E22)</f>
        <v>0</v>
      </c>
      <c r="M22" s="71">
        <f>IF(ISERROR(VLOOKUP($C22,Database!$A:$I,K$1,FALSE)*$E22),0,VLOOKUP($C22,Database!$A:$I,K$1,FALSE)*$E22)</f>
        <v>0</v>
      </c>
      <c r="N22" s="77">
        <f>IF(ISERROR(VLOOKUP($C22,Database!$A:$J,10,FALSE)),0,VLOOKUP($C22,Database!$A:$J,10,FALSE)*$E22)</f>
        <v>0</v>
      </c>
    </row>
    <row r="23" spans="1:14" x14ac:dyDescent="0.15">
      <c r="A23" t="e">
        <f>#REF!</f>
        <v>#REF!</v>
      </c>
      <c r="B23" t="str">
        <f>Database!A25</f>
        <v>butter anhydrous 28</v>
      </c>
      <c r="C23" s="67"/>
      <c r="D23" s="69"/>
      <c r="E23" s="70">
        <f t="shared" si="0"/>
        <v>0</v>
      </c>
      <c r="F23" s="70">
        <f>IF(ISERROR(VLOOKUP($C23,Database!$A:$I,D$1,FALSE)*$E23),0,VLOOKUP($C23,Database!$A:$I,D$1,FALSE)*$E23)</f>
        <v>0</v>
      </c>
      <c r="G23" s="70">
        <f>IF(ISERROR(VLOOKUP($C23,Database!$A:$I,E$1,FALSE)*$E23),0,VLOOKUP($C23,Database!$A:$I,E$1,FALSE)*$E23)</f>
        <v>0</v>
      </c>
      <c r="H23" s="70">
        <f>IF(ISERROR(VLOOKUP($C23,Database!$A:$I,F$1,FALSE)*$E23),0,VLOOKUP($C23,Database!$A:$I,F$1,FALSE)*$E23)</f>
        <v>0</v>
      </c>
      <c r="I23" s="70">
        <f>IF(ISERROR(VLOOKUP($C23,Database!$A:$I,G$1,FALSE)*$E23),0,VLOOKUP($C23,Database!$A:$I,G$1,FALSE)*$E23)</f>
        <v>0</v>
      </c>
      <c r="J23" s="70">
        <f>IF(ISERROR(VLOOKUP($C23,Database!$A:$I,H$1,FALSE)*$E23),0,VLOOKUP($C23,Database!$A:$I,H$1,FALSE)*$E23)</f>
        <v>0</v>
      </c>
      <c r="K23" s="70">
        <f>IF(ISERROR(VLOOKUP($C23,Database!$A:$I,I$1,FALSE)*$E23),0,VLOOKUP($C23,Database!$A:$I,I$1,FALSE)*$E23)</f>
        <v>0</v>
      </c>
      <c r="L23" s="70">
        <f>IF(ISERROR(VLOOKUP($C23,Database!$A:$I,J$1,FALSE)*$E23),0,VLOOKUP($C23,Database!$A:$I,J$1,FALSE)*$E23)</f>
        <v>0</v>
      </c>
      <c r="M23" s="71">
        <f>IF(ISERROR(VLOOKUP($C23,Database!$A:$I,K$1,FALSE)*$E23),0,VLOOKUP($C23,Database!$A:$I,K$1,FALSE)*$E23)</f>
        <v>0</v>
      </c>
      <c r="N23" s="77">
        <f>IF(ISERROR(VLOOKUP($C23,Database!$A:$J,10,FALSE)),0,VLOOKUP($C23,Database!$A:$J,10,FALSE)*$E23)</f>
        <v>0</v>
      </c>
    </row>
    <row r="24" spans="1:14" x14ac:dyDescent="0.15">
      <c r="A24" t="e">
        <f>#REF!</f>
        <v>#REF!</v>
      </c>
      <c r="B24" t="str">
        <f>Database!A26</f>
        <v>butter cacao</v>
      </c>
      <c r="C24" s="67"/>
      <c r="D24" s="69"/>
      <c r="E24" s="70">
        <f t="shared" si="0"/>
        <v>0</v>
      </c>
      <c r="F24" s="70">
        <f>IF(ISERROR(VLOOKUP($C24,Database!$A:$I,D$1,FALSE)*$E24),0,VLOOKUP($C24,Database!$A:$I,D$1,FALSE)*$E24)</f>
        <v>0</v>
      </c>
      <c r="G24" s="70">
        <f>IF(ISERROR(VLOOKUP($C24,Database!$A:$I,E$1,FALSE)*$E24),0,VLOOKUP($C24,Database!$A:$I,E$1,FALSE)*$E24)</f>
        <v>0</v>
      </c>
      <c r="H24" s="70">
        <f>IF(ISERROR(VLOOKUP($C24,Database!$A:$I,F$1,FALSE)*$E24),0,VLOOKUP($C24,Database!$A:$I,F$1,FALSE)*$E24)</f>
        <v>0</v>
      </c>
      <c r="I24" s="70">
        <f>IF(ISERROR(VLOOKUP($C24,Database!$A:$I,G$1,FALSE)*$E24),0,VLOOKUP($C24,Database!$A:$I,G$1,FALSE)*$E24)</f>
        <v>0</v>
      </c>
      <c r="J24" s="70">
        <f>IF(ISERROR(VLOOKUP($C24,Database!$A:$I,H$1,FALSE)*$E24),0,VLOOKUP($C24,Database!$A:$I,H$1,FALSE)*$E24)</f>
        <v>0</v>
      </c>
      <c r="K24" s="70">
        <f>IF(ISERROR(VLOOKUP($C24,Database!$A:$I,I$1,FALSE)*$E24),0,VLOOKUP($C24,Database!$A:$I,I$1,FALSE)*$E24)</f>
        <v>0</v>
      </c>
      <c r="L24" s="70">
        <f>IF(ISERROR(VLOOKUP($C24,Database!$A:$I,J$1,FALSE)*$E24),0,VLOOKUP($C24,Database!$A:$I,J$1,FALSE)*$E24)</f>
        <v>0</v>
      </c>
      <c r="M24" s="71">
        <f>IF(ISERROR(VLOOKUP($C24,Database!$A:$I,K$1,FALSE)*$E24),0,VLOOKUP($C24,Database!$A:$I,K$1,FALSE)*$E24)</f>
        <v>0</v>
      </c>
      <c r="N24" s="77">
        <f>IF(ISERROR(VLOOKUP($C24,Database!$A:$J,10,FALSE)),0,VLOOKUP($C24,Database!$A:$J,10,FALSE)*$E24)</f>
        <v>0</v>
      </c>
    </row>
    <row r="25" spans="1:14" x14ac:dyDescent="0.15">
      <c r="A25" t="e">
        <f>#REF!</f>
        <v>#REF!</v>
      </c>
      <c r="B25" t="str">
        <f>Database!A27</f>
        <v>butter fresh</v>
      </c>
      <c r="C25" s="67"/>
      <c r="D25" s="69"/>
      <c r="E25" s="70">
        <f t="shared" si="0"/>
        <v>0</v>
      </c>
      <c r="F25" s="70">
        <f>IF(ISERROR(VLOOKUP($C25,Database!$A:$I,D$1,FALSE)*$E25),0,VLOOKUP($C25,Database!$A:$I,D$1,FALSE)*$E25)</f>
        <v>0</v>
      </c>
      <c r="G25" s="70">
        <f>IF(ISERROR(VLOOKUP($C25,Database!$A:$I,E$1,FALSE)*$E25),0,VLOOKUP($C25,Database!$A:$I,E$1,FALSE)*$E25)</f>
        <v>0</v>
      </c>
      <c r="H25" s="70">
        <f>IF(ISERROR(VLOOKUP($C25,Database!$A:$I,F$1,FALSE)*$E25),0,VLOOKUP($C25,Database!$A:$I,F$1,FALSE)*$E25)</f>
        <v>0</v>
      </c>
      <c r="I25" s="70">
        <f>IF(ISERROR(VLOOKUP($C25,Database!$A:$I,G$1,FALSE)*$E25),0,VLOOKUP($C25,Database!$A:$I,G$1,FALSE)*$E25)</f>
        <v>0</v>
      </c>
      <c r="J25" s="70">
        <f>IF(ISERROR(VLOOKUP($C25,Database!$A:$I,H$1,FALSE)*$E25),0,VLOOKUP($C25,Database!$A:$I,H$1,FALSE)*$E25)</f>
        <v>0</v>
      </c>
      <c r="K25" s="70">
        <f>IF(ISERROR(VLOOKUP($C25,Database!$A:$I,I$1,FALSE)*$E25),0,VLOOKUP($C25,Database!$A:$I,I$1,FALSE)*$E25)</f>
        <v>0</v>
      </c>
      <c r="L25" s="70">
        <f>IF(ISERROR(VLOOKUP($C25,Database!$A:$I,J$1,FALSE)*$E25),0,VLOOKUP($C25,Database!$A:$I,J$1,FALSE)*$E25)</f>
        <v>0</v>
      </c>
      <c r="M25" s="71">
        <f>IF(ISERROR(VLOOKUP($C25,Database!$A:$I,K$1,FALSE)*$E25),0,VLOOKUP($C25,Database!$A:$I,K$1,FALSE)*$E25)</f>
        <v>0</v>
      </c>
      <c r="N25" s="77">
        <f>IF(ISERROR(VLOOKUP($C25,Database!$A:$J,10,FALSE)),0,VLOOKUP($C25,Database!$A:$J,10,FALSE)*$E25)</f>
        <v>0</v>
      </c>
    </row>
    <row r="26" spans="1:14" x14ac:dyDescent="0.15">
      <c r="A26" t="e">
        <f>#REF!</f>
        <v>#REF!</v>
      </c>
      <c r="B26" t="str">
        <f>Database!A28</f>
        <v>cacao-barry Excellence</v>
      </c>
      <c r="C26" s="67"/>
      <c r="D26" s="69"/>
      <c r="E26" s="70">
        <f t="shared" si="0"/>
        <v>0</v>
      </c>
      <c r="F26" s="70">
        <f>IF(ISERROR(VLOOKUP($C26,Database!$A:$I,D$1,FALSE)*$E26),0,VLOOKUP($C26,Database!$A:$I,D$1,FALSE)*$E26)</f>
        <v>0</v>
      </c>
      <c r="G26" s="70">
        <f>IF(ISERROR(VLOOKUP($C26,Database!$A:$I,E$1,FALSE)*$E26),0,VLOOKUP($C26,Database!$A:$I,E$1,FALSE)*$E26)</f>
        <v>0</v>
      </c>
      <c r="H26" s="70">
        <f>IF(ISERROR(VLOOKUP($C26,Database!$A:$I,F$1,FALSE)*$E26),0,VLOOKUP($C26,Database!$A:$I,F$1,FALSE)*$E26)</f>
        <v>0</v>
      </c>
      <c r="I26" s="70">
        <f>IF(ISERROR(VLOOKUP($C26,Database!$A:$I,G$1,FALSE)*$E26),0,VLOOKUP($C26,Database!$A:$I,G$1,FALSE)*$E26)</f>
        <v>0</v>
      </c>
      <c r="J26" s="70">
        <f>IF(ISERROR(VLOOKUP($C26,Database!$A:$I,H$1,FALSE)*$E26),0,VLOOKUP($C26,Database!$A:$I,H$1,FALSE)*$E26)</f>
        <v>0</v>
      </c>
      <c r="K26" s="70">
        <f>IF(ISERROR(VLOOKUP($C26,Database!$A:$I,I$1,FALSE)*$E26),0,VLOOKUP($C26,Database!$A:$I,I$1,FALSE)*$E26)</f>
        <v>0</v>
      </c>
      <c r="L26" s="70">
        <f>IF(ISERROR(VLOOKUP($C26,Database!$A:$I,J$1,FALSE)*$E26),0,VLOOKUP($C26,Database!$A:$I,J$1,FALSE)*$E26)</f>
        <v>0</v>
      </c>
      <c r="M26" s="71">
        <f>IF(ISERROR(VLOOKUP($C26,Database!$A:$I,K$1,FALSE)*$E26),0,VLOOKUP($C26,Database!$A:$I,K$1,FALSE)*$E26)</f>
        <v>0</v>
      </c>
      <c r="N26" s="77">
        <f>IF(ISERROR(VLOOKUP($C26,Database!$A:$J,10,FALSE)),0,VLOOKUP($C26,Database!$A:$J,10,FALSE)*$E26)</f>
        <v>0</v>
      </c>
    </row>
    <row r="27" spans="1:14" x14ac:dyDescent="0.15">
      <c r="A27" t="e">
        <f>#REF!</f>
        <v>#REF!</v>
      </c>
      <c r="B27" t="str">
        <f>Database!A29</f>
        <v>callebaut 60/40/38</v>
      </c>
      <c r="C27" s="67"/>
      <c r="D27" s="69"/>
      <c r="E27" s="70">
        <f t="shared" si="0"/>
        <v>0</v>
      </c>
      <c r="F27" s="70">
        <f>IF(ISERROR(VLOOKUP($C27,Database!$A:$I,D$1,FALSE)*$E27),0,VLOOKUP($C27,Database!$A:$I,D$1,FALSE)*$E27)</f>
        <v>0</v>
      </c>
      <c r="G27" s="70">
        <f>IF(ISERROR(VLOOKUP($C27,Database!$A:$I,E$1,FALSE)*$E27),0,VLOOKUP($C27,Database!$A:$I,E$1,FALSE)*$E27)</f>
        <v>0</v>
      </c>
      <c r="H27" s="70">
        <f>IF(ISERROR(VLOOKUP($C27,Database!$A:$I,F$1,FALSE)*$E27),0,VLOOKUP($C27,Database!$A:$I,F$1,FALSE)*$E27)</f>
        <v>0</v>
      </c>
      <c r="I27" s="70">
        <f>IF(ISERROR(VLOOKUP($C27,Database!$A:$I,G$1,FALSE)*$E27),0,VLOOKUP($C27,Database!$A:$I,G$1,FALSE)*$E27)</f>
        <v>0</v>
      </c>
      <c r="J27" s="70">
        <f>IF(ISERROR(VLOOKUP($C27,Database!$A:$I,H$1,FALSE)*$E27),0,VLOOKUP($C27,Database!$A:$I,H$1,FALSE)*$E27)</f>
        <v>0</v>
      </c>
      <c r="K27" s="70">
        <f>IF(ISERROR(VLOOKUP($C27,Database!$A:$I,I$1,FALSE)*$E27),0,VLOOKUP($C27,Database!$A:$I,I$1,FALSE)*$E27)</f>
        <v>0</v>
      </c>
      <c r="L27" s="70">
        <f>IF(ISERROR(VLOOKUP($C27,Database!$A:$I,J$1,FALSE)*$E27),0,VLOOKUP($C27,Database!$A:$I,J$1,FALSE)*$E27)</f>
        <v>0</v>
      </c>
      <c r="M27" s="71">
        <f>IF(ISERROR(VLOOKUP($C27,Database!$A:$I,K$1,FALSE)*$E27),0,VLOOKUP($C27,Database!$A:$I,K$1,FALSE)*$E27)</f>
        <v>0</v>
      </c>
      <c r="N27" s="77">
        <f>IF(ISERROR(VLOOKUP($C27,Database!$A:$J,10,FALSE)),0,VLOOKUP($C27,Database!$A:$J,10,FALSE)*$E27)</f>
        <v>0</v>
      </c>
    </row>
    <row r="28" spans="1:14" x14ac:dyDescent="0.15">
      <c r="A28" t="e">
        <f>#REF!</f>
        <v>#REF!</v>
      </c>
      <c r="B28" t="str">
        <f>Database!A30</f>
        <v>callebaut 70/30/38</v>
      </c>
      <c r="C28" s="67"/>
      <c r="D28" s="69"/>
      <c r="E28" s="70">
        <f t="shared" si="0"/>
        <v>0</v>
      </c>
      <c r="F28" s="70">
        <f>IF(ISERROR(VLOOKUP($C28,Database!$A:$I,D$1,FALSE)*$E28),0,VLOOKUP($C28,Database!$A:$I,D$1,FALSE)*$E28)</f>
        <v>0</v>
      </c>
      <c r="G28" s="70">
        <f>IF(ISERROR(VLOOKUP($C28,Database!$A:$I,E$1,FALSE)*$E28),0,VLOOKUP($C28,Database!$A:$I,E$1,FALSE)*$E28)</f>
        <v>0</v>
      </c>
      <c r="H28" s="70">
        <f>IF(ISERROR(VLOOKUP($C28,Database!$A:$I,F$1,FALSE)*$E28),0,VLOOKUP($C28,Database!$A:$I,F$1,FALSE)*$E28)</f>
        <v>0</v>
      </c>
      <c r="I28" s="70">
        <f>IF(ISERROR(VLOOKUP($C28,Database!$A:$I,G$1,FALSE)*$E28),0,VLOOKUP($C28,Database!$A:$I,G$1,FALSE)*$E28)</f>
        <v>0</v>
      </c>
      <c r="J28" s="70">
        <f>IF(ISERROR(VLOOKUP($C28,Database!$A:$I,H$1,FALSE)*$E28),0,VLOOKUP($C28,Database!$A:$I,H$1,FALSE)*$E28)</f>
        <v>0</v>
      </c>
      <c r="K28" s="70">
        <f>IF(ISERROR(VLOOKUP($C28,Database!$A:$I,I$1,FALSE)*$E28),0,VLOOKUP($C28,Database!$A:$I,I$1,FALSE)*$E28)</f>
        <v>0</v>
      </c>
      <c r="L28" s="70">
        <f>IF(ISERROR(VLOOKUP($C28,Database!$A:$I,J$1,FALSE)*$E28),0,VLOOKUP($C28,Database!$A:$I,J$1,FALSE)*$E28)</f>
        <v>0</v>
      </c>
      <c r="M28" s="71">
        <f>IF(ISERROR(VLOOKUP($C28,Database!$A:$I,K$1,FALSE)*$E28),0,VLOOKUP($C28,Database!$A:$I,K$1,FALSE)*$E28)</f>
        <v>0</v>
      </c>
      <c r="N28" s="77">
        <f>IF(ISERROR(VLOOKUP($C28,Database!$A:$J,10,FALSE)),0,VLOOKUP($C28,Database!$A:$J,10,FALSE)*$E28)</f>
        <v>0</v>
      </c>
    </row>
    <row r="29" spans="1:14" x14ac:dyDescent="0.15">
      <c r="A29" t="e">
        <f>#REF!</f>
        <v>#REF!</v>
      </c>
      <c r="B29" t="str">
        <f>Database!A31</f>
        <v>callebaut 811</v>
      </c>
      <c r="C29" s="67"/>
      <c r="D29" s="69"/>
      <c r="E29" s="70">
        <f t="shared" si="0"/>
        <v>0</v>
      </c>
      <c r="F29" s="70">
        <f>IF(ISERROR(VLOOKUP($C29,Database!$A:$I,D$1,FALSE)*$E29),0,VLOOKUP($C29,Database!$A:$I,D$1,FALSE)*$E29)</f>
        <v>0</v>
      </c>
      <c r="G29" s="70">
        <f>IF(ISERROR(VLOOKUP($C29,Database!$A:$I,E$1,FALSE)*$E29),0,VLOOKUP($C29,Database!$A:$I,E$1,FALSE)*$E29)</f>
        <v>0</v>
      </c>
      <c r="H29" s="70">
        <f>IF(ISERROR(VLOOKUP($C29,Database!$A:$I,F$1,FALSE)*$E29),0,VLOOKUP($C29,Database!$A:$I,F$1,FALSE)*$E29)</f>
        <v>0</v>
      </c>
      <c r="I29" s="70">
        <f>IF(ISERROR(VLOOKUP($C29,Database!$A:$I,G$1,FALSE)*$E29),0,VLOOKUP($C29,Database!$A:$I,G$1,FALSE)*$E29)</f>
        <v>0</v>
      </c>
      <c r="J29" s="70">
        <f>IF(ISERROR(VLOOKUP($C29,Database!$A:$I,H$1,FALSE)*$E29),0,VLOOKUP($C29,Database!$A:$I,H$1,FALSE)*$E29)</f>
        <v>0</v>
      </c>
      <c r="K29" s="70">
        <f>IF(ISERROR(VLOOKUP($C29,Database!$A:$I,I$1,FALSE)*$E29),0,VLOOKUP($C29,Database!$A:$I,I$1,FALSE)*$E29)</f>
        <v>0</v>
      </c>
      <c r="L29" s="70">
        <f>IF(ISERROR(VLOOKUP($C29,Database!$A:$I,J$1,FALSE)*$E29),0,VLOOKUP($C29,Database!$A:$I,J$1,FALSE)*$E29)</f>
        <v>0</v>
      </c>
      <c r="M29" s="71">
        <f>IF(ISERROR(VLOOKUP($C29,Database!$A:$I,K$1,FALSE)*$E29),0,VLOOKUP($C29,Database!$A:$I,K$1,FALSE)*$E29)</f>
        <v>0</v>
      </c>
      <c r="N29" s="77">
        <f>IF(ISERROR(VLOOKUP($C29,Database!$A:$J,10,FALSE)),0,VLOOKUP($C29,Database!$A:$J,10,FALSE)*$E29)</f>
        <v>0</v>
      </c>
    </row>
    <row r="30" spans="1:14" x14ac:dyDescent="0.15">
      <c r="A30" t="e">
        <f>#REF!</f>
        <v>#REF!</v>
      </c>
      <c r="B30" t="str">
        <f>Database!A32</f>
        <v>callebaut 823</v>
      </c>
      <c r="C30" s="90" t="s">
        <v>63</v>
      </c>
      <c r="D30" s="5">
        <f t="shared" ref="D30:M30" si="1">SUM(D5:D29)</f>
        <v>606.79999999999995</v>
      </c>
      <c r="E30" s="55">
        <f t="shared" si="1"/>
        <v>1.0000000000000002</v>
      </c>
      <c r="F30" s="115">
        <f t="shared" si="1"/>
        <v>0.35980553724456166</v>
      </c>
      <c r="G30" s="114">
        <f t="shared" si="1"/>
        <v>4.5187870797626893E-2</v>
      </c>
      <c r="H30" s="114">
        <f t="shared" si="1"/>
        <v>0.17303889255108768</v>
      </c>
      <c r="I30" s="83">
        <f>SUM(I5:I29)</f>
        <v>9.5764667106130533E-2</v>
      </c>
      <c r="J30" s="113">
        <f t="shared" si="1"/>
        <v>1.7303889255108767E-2</v>
      </c>
      <c r="K30" s="86">
        <f>SUM(K5:K29)</f>
        <v>0</v>
      </c>
      <c r="L30" s="112">
        <f t="shared" si="1"/>
        <v>0.21859920896506263</v>
      </c>
      <c r="M30" s="85">
        <f t="shared" si="1"/>
        <v>0</v>
      </c>
      <c r="N30" s="110">
        <f>SUM(N5:N29)</f>
        <v>0.33483849703361901</v>
      </c>
    </row>
    <row r="31" spans="1:14" x14ac:dyDescent="0.15">
      <c r="A31" t="e">
        <f>#REF!</f>
        <v>#REF!</v>
      </c>
      <c r="B31" t="str">
        <f>Database!A33</f>
        <v>callebaut arriba</v>
      </c>
      <c r="C31" s="22"/>
      <c r="D31" s="22"/>
      <c r="L31" s="91" t="s">
        <v>62</v>
      </c>
      <c r="M31" s="92">
        <f>(M30/D30)*1000</f>
        <v>0</v>
      </c>
    </row>
    <row r="32" spans="1:14" x14ac:dyDescent="0.15">
      <c r="A32" t="e">
        <f>#REF!</f>
        <v>#REF!</v>
      </c>
      <c r="B32" t="str">
        <f>Database!A34</f>
        <v>callebaut cocoa massa</v>
      </c>
      <c r="C32" s="87" t="s">
        <v>64</v>
      </c>
      <c r="D32" s="72">
        <v>1</v>
      </c>
      <c r="E32" s="34"/>
      <c r="F32" s="34"/>
      <c r="G32" s="34"/>
      <c r="H32" s="34"/>
      <c r="I32" s="34"/>
      <c r="J32" s="34"/>
      <c r="K32" s="34"/>
      <c r="L32" s="34"/>
    </row>
    <row r="33" spans="1:32" x14ac:dyDescent="0.15">
      <c r="A33" t="e">
        <f>#REF!</f>
        <v>#REF!</v>
      </c>
      <c r="B33" t="str">
        <f>Database!A35</f>
        <v>callebaut equateur</v>
      </c>
      <c r="C33" s="87" t="s">
        <v>65</v>
      </c>
      <c r="D33" s="56">
        <f>$M$30/$D$32</f>
        <v>0</v>
      </c>
    </row>
    <row r="34" spans="1:32" x14ac:dyDescent="0.15">
      <c r="A34" t="e">
        <f>#REF!</f>
        <v>#REF!</v>
      </c>
      <c r="B34" t="str">
        <f>Database!A36</f>
        <v>callebaut madagascar</v>
      </c>
      <c r="E34" s="35"/>
      <c r="F34" s="35"/>
      <c r="G34" s="35"/>
      <c r="H34" s="35"/>
      <c r="I34" s="35"/>
      <c r="J34" s="35"/>
      <c r="K34" s="35"/>
      <c r="L34" s="35"/>
    </row>
    <row r="35" spans="1:32" x14ac:dyDescent="0.15">
      <c r="A35" t="e">
        <f>#REF!</f>
        <v>#REF!</v>
      </c>
      <c r="B35" t="str">
        <f>Database!A37</f>
        <v>callebaut sao thomé</v>
      </c>
      <c r="C35" s="88" t="s">
        <v>66</v>
      </c>
      <c r="D35" s="89"/>
      <c r="E35" s="35"/>
      <c r="F35" s="35"/>
      <c r="G35" s="35"/>
      <c r="H35" s="35"/>
      <c r="I35" s="35"/>
      <c r="J35" s="35"/>
      <c r="K35" s="35"/>
      <c r="L35" s="35"/>
    </row>
    <row r="36" spans="1:32" s="33" customFormat="1" x14ac:dyDescent="0.15">
      <c r="A36" t="e">
        <f>#REF!</f>
        <v>#REF!</v>
      </c>
      <c r="B36" t="str">
        <f>Database!A38</f>
        <v>callebaut velvet</v>
      </c>
      <c r="C36" s="57" t="s">
        <v>67</v>
      </c>
      <c r="D36" s="58">
        <f>G30+H30</f>
        <v>0.21822676334871458</v>
      </c>
      <c r="E36" s="39"/>
      <c r="F36" s="39"/>
      <c r="G36" s="39"/>
      <c r="H36" s="39"/>
      <c r="I36" s="39"/>
      <c r="J36" s="39"/>
      <c r="K36" s="39"/>
      <c r="L36" s="39"/>
      <c r="M36"/>
      <c r="N36" s="77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33" customFormat="1" x14ac:dyDescent="0.15">
      <c r="A37" t="e">
        <f>#REF!</f>
        <v>#REF!</v>
      </c>
      <c r="B37" t="str">
        <f>Database!A39</f>
        <v>callebaut W2</v>
      </c>
      <c r="C37" s="57" t="s">
        <v>48</v>
      </c>
      <c r="D37" s="59">
        <f>F30</f>
        <v>0.35980553724456166</v>
      </c>
      <c r="E37" s="22"/>
      <c r="F37" s="22"/>
      <c r="G37" s="22"/>
      <c r="H37" s="22"/>
      <c r="I37" s="22"/>
      <c r="J37" s="22"/>
      <c r="K37" s="22"/>
      <c r="L37" s="22"/>
      <c r="M37"/>
      <c r="N37" s="7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33" customFormat="1" x14ac:dyDescent="0.15">
      <c r="A38" t="e">
        <f>#REF!</f>
        <v>#REF!</v>
      </c>
      <c r="B38" t="str">
        <f>Database!A40</f>
        <v>cream 35%</v>
      </c>
      <c r="C38" s="60" t="s">
        <v>68</v>
      </c>
      <c r="D38" s="59">
        <f>J30</f>
        <v>1.7303889255108767E-2</v>
      </c>
      <c r="E38"/>
      <c r="F38"/>
      <c r="G38"/>
      <c r="H38"/>
      <c r="I38"/>
      <c r="J38"/>
      <c r="K38"/>
      <c r="L38"/>
      <c r="M38"/>
      <c r="N38" s="77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s="33" customFormat="1" x14ac:dyDescent="0.15">
      <c r="A39" t="e">
        <f>#REF!</f>
        <v>#REF!</v>
      </c>
      <c r="B39" t="str">
        <f>Database!A41</f>
        <v>cream 38%</v>
      </c>
      <c r="C39" s="60" t="s">
        <v>69</v>
      </c>
      <c r="D39" s="59">
        <f>I30</f>
        <v>9.5764667106130533E-2</v>
      </c>
      <c r="E39"/>
      <c r="F39"/>
      <c r="G39"/>
      <c r="H39"/>
      <c r="I39"/>
      <c r="J39"/>
      <c r="K39"/>
      <c r="L39"/>
      <c r="M39"/>
      <c r="N39" s="77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32" s="33" customFormat="1" x14ac:dyDescent="0.15">
      <c r="A40"/>
      <c r="B40"/>
      <c r="C40" s="60" t="s">
        <v>70</v>
      </c>
      <c r="D40" s="59">
        <f>K30</f>
        <v>0</v>
      </c>
      <c r="E40"/>
      <c r="F40"/>
      <c r="G40"/>
      <c r="H40"/>
      <c r="I40"/>
      <c r="J40"/>
      <c r="K40"/>
      <c r="L40"/>
      <c r="M40"/>
      <c r="N40" s="77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s="33" customFormat="1" x14ac:dyDescent="0.15">
      <c r="A41" t="e">
        <f>#REF!</f>
        <v>#REF!</v>
      </c>
      <c r="B41" t="str">
        <f>Database!A42</f>
        <v>fruit puree абрикос</v>
      </c>
      <c r="C41" s="61" t="s">
        <v>56</v>
      </c>
      <c r="D41" s="62">
        <f>L30</f>
        <v>0.21859920896506263</v>
      </c>
      <c r="E41"/>
      <c r="F41"/>
      <c r="G41"/>
      <c r="H41"/>
      <c r="I41"/>
      <c r="J41"/>
      <c r="K41"/>
      <c r="L41"/>
      <c r="M41"/>
      <c r="N41" s="77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1:32" s="33" customFormat="1" x14ac:dyDescent="0.15">
      <c r="A42" t="e">
        <f>#REF!</f>
        <v>#REF!</v>
      </c>
      <c r="B42" t="str">
        <f>Database!A43</f>
        <v>fruit puree облепиха</v>
      </c>
      <c r="C42" s="22"/>
      <c r="D42"/>
      <c r="E42"/>
      <c r="F42"/>
      <c r="G42"/>
      <c r="H42"/>
      <c r="I42"/>
      <c r="J42"/>
      <c r="K42"/>
      <c r="L42"/>
      <c r="M42"/>
      <c r="N42" s="77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s="33" customFormat="1" x14ac:dyDescent="0.15">
      <c r="A43" t="e">
        <f>#REF!</f>
        <v>#REF!</v>
      </c>
      <c r="B43" t="str">
        <f>Database!A44</f>
        <v>fruit puree ежевика</v>
      </c>
      <c r="C43" s="22"/>
      <c r="D43"/>
      <c r="E43"/>
      <c r="F43"/>
      <c r="G43"/>
      <c r="H43"/>
      <c r="I43"/>
      <c r="J43"/>
      <c r="K43"/>
      <c r="L43"/>
      <c r="M43"/>
      <c r="N43" s="77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1:32" s="33" customFormat="1" x14ac:dyDescent="0.15">
      <c r="A44" t="e">
        <f>#REF!</f>
        <v>#REF!</v>
      </c>
      <c r="B44" t="str">
        <f>Database!A45</f>
        <v>fruit puree голубика</v>
      </c>
      <c r="C44" s="22"/>
      <c r="D44"/>
      <c r="E44"/>
      <c r="F44"/>
      <c r="G44"/>
      <c r="H44"/>
      <c r="I44"/>
      <c r="J44"/>
      <c r="K44"/>
      <c r="L44"/>
      <c r="M44"/>
      <c r="N44" s="77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 s="33" customFormat="1" x14ac:dyDescent="0.15">
      <c r="A45" t="e">
        <f>#REF!</f>
        <v>#REF!</v>
      </c>
      <c r="B45" t="str">
        <f>Database!A46</f>
        <v>fruit puree каламанси</v>
      </c>
      <c r="C45" s="22"/>
      <c r="D45"/>
      <c r="E45"/>
      <c r="F45"/>
      <c r="G45"/>
      <c r="H45"/>
      <c r="I45"/>
      <c r="J45"/>
      <c r="K45"/>
      <c r="L45"/>
      <c r="M45"/>
      <c r="N45" s="77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2" s="33" customFormat="1" x14ac:dyDescent="0.15">
      <c r="A46" t="e">
        <f>#REF!</f>
        <v>#REF!</v>
      </c>
      <c r="B46" t="str">
        <f>Database!A47</f>
        <v>fruit Puree черная смородина</v>
      </c>
      <c r="C46" s="22"/>
      <c r="D46"/>
      <c r="E46"/>
      <c r="F46"/>
      <c r="G46"/>
      <c r="H46"/>
      <c r="I46"/>
      <c r="J46"/>
      <c r="K46"/>
      <c r="L46"/>
      <c r="M46"/>
      <c r="N46" s="77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s="33" customFormat="1" x14ac:dyDescent="0.15">
      <c r="A47" t="e">
        <f>#REF!</f>
        <v>#REF!</v>
      </c>
      <c r="B47" t="str">
        <f>Database!A48</f>
        <v>fruit puree вишня</v>
      </c>
      <c r="C47" s="22"/>
      <c r="D47"/>
      <c r="E47"/>
      <c r="F47"/>
      <c r="G47"/>
      <c r="H47"/>
      <c r="I47"/>
      <c r="J47"/>
      <c r="K47"/>
      <c r="L47"/>
      <c r="M47"/>
      <c r="N47" s="7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2" x14ac:dyDescent="0.15">
      <c r="A48" t="e">
        <f>#REF!</f>
        <v>#REF!</v>
      </c>
      <c r="B48" t="str">
        <f>Database!A49</f>
        <v>fruit puree кокс capfruit</v>
      </c>
    </row>
    <row r="49" spans="1:2" x14ac:dyDescent="0.15">
      <c r="A49" t="e">
        <f>#REF!</f>
        <v>#REF!</v>
      </c>
      <c r="B49" t="str">
        <f>Database!A50</f>
        <v>fruit puree инжир</v>
      </c>
    </row>
    <row r="50" spans="1:2" x14ac:dyDescent="0.15">
      <c r="A50" t="e">
        <f>#REF!</f>
        <v>#REF!</v>
      </c>
      <c r="B50" t="str">
        <f>Database!A51</f>
        <v>fruit Puree личи</v>
      </c>
    </row>
    <row r="51" spans="1:2" x14ac:dyDescent="0.15">
      <c r="A51" t="e">
        <f>#REF!</f>
        <v>#REF!</v>
      </c>
      <c r="B51" t="str">
        <f>Database!A52</f>
        <v>fruit purée лайм</v>
      </c>
    </row>
    <row r="52" spans="1:2" x14ac:dyDescent="0.15">
      <c r="A52" t="e">
        <f>#REF!</f>
        <v>#REF!</v>
      </c>
      <c r="B52" t="str">
        <f>Database!A53</f>
        <v>fruit puree мандарин</v>
      </c>
    </row>
    <row r="53" spans="1:2" x14ac:dyDescent="0.15">
      <c r="A53" t="e">
        <f>#REF!</f>
        <v>#REF!</v>
      </c>
      <c r="B53" t="str">
        <f>Database!A54</f>
        <v>fruit puree манго</v>
      </c>
    </row>
    <row r="54" spans="1:2" x14ac:dyDescent="0.15">
      <c r="A54" t="e">
        <f>#REF!</f>
        <v>#REF!</v>
      </c>
      <c r="B54" t="str">
        <f>Database!A55</f>
        <v>fruit purée маракуйя capfruit</v>
      </c>
    </row>
    <row r="55" spans="1:2" x14ac:dyDescent="0.15">
      <c r="A55" t="e">
        <f>#REF!</f>
        <v>#REF!</v>
      </c>
      <c r="B55" t="str">
        <f>Database!A56</f>
        <v>fruit puree персик</v>
      </c>
    </row>
    <row r="56" spans="1:2" x14ac:dyDescent="0.15">
      <c r="A56" t="e">
        <f>#REF!</f>
        <v>#REF!</v>
      </c>
      <c r="B56" t="str">
        <f>Database!A57</f>
        <v>fruit puree груша</v>
      </c>
    </row>
    <row r="57" spans="1:2" x14ac:dyDescent="0.15">
      <c r="A57" t="e">
        <f>#REF!</f>
        <v>#REF!</v>
      </c>
      <c r="B57" t="str">
        <f>Database!A58</f>
        <v>fruit puree ананас</v>
      </c>
    </row>
    <row r="58" spans="1:2" x14ac:dyDescent="0.15">
      <c r="A58" t="e">
        <f>#REF!</f>
        <v>#REF!</v>
      </c>
      <c r="B58" t="str">
        <f>Database!A59</f>
        <v>fruit puree зеленое яблоко</v>
      </c>
    </row>
    <row r="59" spans="1:2" x14ac:dyDescent="0.15">
      <c r="A59" t="e">
        <f>#REF!</f>
        <v>#REF!</v>
      </c>
      <c r="B59" t="str">
        <f>Database!A60</f>
        <v>fruit purée малина</v>
      </c>
    </row>
    <row r="60" spans="1:2" x14ac:dyDescent="0.15">
      <c r="A60" t="e">
        <f>#REF!</f>
        <v>#REF!</v>
      </c>
      <c r="B60" t="str">
        <f>Database!A61</f>
        <v>fruit puree клубника</v>
      </c>
    </row>
    <row r="61" spans="1:2" x14ac:dyDescent="0.15">
      <c r="A61" t="e">
        <f>#REF!</f>
        <v>#REF!</v>
      </c>
      <c r="B61" t="str">
        <f>Database!A62</f>
        <v>Fruit puree белый персик</v>
      </c>
    </row>
    <row r="62" spans="1:2" x14ac:dyDescent="0.15">
      <c r="A62" t="e">
        <f>#REF!</f>
        <v>#REF!</v>
      </c>
      <c r="B62" t="str">
        <f>Database!A63</f>
        <v>fruit puree земляника</v>
      </c>
    </row>
    <row r="63" spans="1:2" x14ac:dyDescent="0.15">
      <c r="A63" t="e">
        <f>#REF!</f>
        <v>#REF!</v>
      </c>
      <c r="B63" t="str">
        <f>Database!A64</f>
        <v>fruit purée юзу</v>
      </c>
    </row>
    <row r="64" spans="1:2" x14ac:dyDescent="0.15">
      <c r="A64" t="e">
        <f>#REF!</f>
        <v>#REF!</v>
      </c>
      <c r="B64" t="str">
        <f>Database!A65</f>
        <v>fruit puree греийпфрут</v>
      </c>
    </row>
    <row r="65" spans="1:2" x14ac:dyDescent="0.15">
      <c r="A65" t="e">
        <f>#REF!</f>
        <v>#REF!</v>
      </c>
      <c r="B65" t="str">
        <f>Database!A66</f>
        <v>lecithin soya</v>
      </c>
    </row>
    <row r="66" spans="1:2" x14ac:dyDescent="0.15">
      <c r="A66" t="e">
        <f>#REF!</f>
        <v>#REF!</v>
      </c>
      <c r="B66" t="str">
        <f>Database!A67</f>
        <v>mascarpone</v>
      </c>
    </row>
    <row r="67" spans="1:2" x14ac:dyDescent="0.15">
      <c r="A67" t="e">
        <f>#REF!</f>
        <v>#REF!</v>
      </c>
      <c r="B67" t="str">
        <f>Database!A68</f>
        <v>milk</v>
      </c>
    </row>
    <row r="68" spans="1:2" x14ac:dyDescent="0.15">
      <c r="A68" t="e">
        <f>#REF!</f>
        <v>#REF!</v>
      </c>
      <c r="B68" t="str">
        <f>Database!A69</f>
        <v>oil</v>
      </c>
    </row>
    <row r="69" spans="1:2" x14ac:dyDescent="0.15">
      <c r="A69" t="e">
        <f>#REF!</f>
        <v>#REF!</v>
      </c>
      <c r="B69" t="str">
        <f>Database!A70</f>
        <v>power 41</v>
      </c>
    </row>
    <row r="70" spans="1:2" x14ac:dyDescent="0.15">
      <c r="A70" t="e">
        <f>#REF!</f>
        <v>#REF!</v>
      </c>
      <c r="B70" t="str">
        <f>Database!A71</f>
        <v xml:space="preserve">praliné </v>
      </c>
    </row>
    <row r="71" spans="1:2" x14ac:dyDescent="0.15">
      <c r="A71" t="e">
        <f>#REF!</f>
        <v>#REF!</v>
      </c>
      <c r="B71" t="str">
        <f>Database!A72</f>
        <v>pure almond pasтe</v>
      </c>
    </row>
    <row r="72" spans="1:2" x14ac:dyDescent="0.15">
      <c r="A72" t="e">
        <f>#REF!</f>
        <v>#REF!</v>
      </c>
      <c r="B72" t="str">
        <f>Database!A73</f>
        <v>pure hazelnut paste</v>
      </c>
    </row>
    <row r="73" spans="1:2" x14ac:dyDescent="0.15">
      <c r="A73" t="e">
        <f>#REF!</f>
        <v>#REF!</v>
      </c>
      <c r="B73" t="str">
        <f>Database!A74</f>
        <v>pure pecan paste</v>
      </c>
    </row>
    <row r="74" spans="1:2" x14ac:dyDescent="0.15">
      <c r="A74" t="e">
        <f>#REF!</f>
        <v>#REF!</v>
      </c>
      <c r="B74" t="str">
        <f>Database!A75</f>
        <v>pure pistachio paste</v>
      </c>
    </row>
    <row r="75" spans="1:2" x14ac:dyDescent="0.15">
      <c r="A75" t="e">
        <f>#REF!</f>
        <v>#REF!</v>
      </c>
      <c r="B75" t="str">
        <f>Database!A76</f>
        <v>spices</v>
      </c>
    </row>
    <row r="76" spans="1:2" x14ac:dyDescent="0.15">
      <c r="A76" t="e">
        <f>#REF!</f>
        <v>#REF!</v>
      </c>
      <c r="B76" t="str">
        <f>Database!A77</f>
        <v>sugar dextrose</v>
      </c>
    </row>
    <row r="77" spans="1:2" x14ac:dyDescent="0.15">
      <c r="A77" t="e">
        <f>#REF!</f>
        <v>#REF!</v>
      </c>
      <c r="B77" t="str">
        <f>Database!A78</f>
        <v>sugar glucose 40DE</v>
      </c>
    </row>
    <row r="78" spans="1:2" x14ac:dyDescent="0.15">
      <c r="A78" t="e">
        <f>#REF!</f>
        <v>#REF!</v>
      </c>
      <c r="B78" t="str">
        <f>Database!A79</f>
        <v>sugar glucose 60DE</v>
      </c>
    </row>
    <row r="79" spans="1:2" x14ac:dyDescent="0.15">
      <c r="A79" t="e">
        <f>#REF!</f>
        <v>#REF!</v>
      </c>
      <c r="B79" t="str">
        <f>Database!A80</f>
        <v>sugar inverted</v>
      </c>
    </row>
    <row r="80" spans="1:2" x14ac:dyDescent="0.15">
      <c r="A80" t="e">
        <f>#REF!</f>
        <v>#REF!</v>
      </c>
      <c r="B80" t="str">
        <f>Database!A81</f>
        <v>sugar sorbitol</v>
      </c>
    </row>
    <row r="81" spans="1:2" x14ac:dyDescent="0.15">
      <c r="A81" t="e">
        <f>#REF!</f>
        <v>#REF!</v>
      </c>
      <c r="B81" t="str">
        <f>Database!A82</f>
        <v>Valrhona Alpaco</v>
      </c>
    </row>
    <row r="82" spans="1:2" x14ac:dyDescent="0.15">
      <c r="A82" t="e">
        <f>#REF!</f>
        <v>#REF!</v>
      </c>
      <c r="B82" t="str">
        <f>Database!A83</f>
        <v>Valrhona Ashanti</v>
      </c>
    </row>
    <row r="83" spans="1:2" x14ac:dyDescent="0.15">
      <c r="A83" t="e">
        <f>#REF!</f>
        <v>#REF!</v>
      </c>
      <c r="B83" t="str">
        <f>Database!A84</f>
        <v>Valrhona Azelia</v>
      </c>
    </row>
    <row r="84" spans="1:2" x14ac:dyDescent="0.15">
      <c r="A84" t="e">
        <f>#REF!</f>
        <v>#REF!</v>
      </c>
      <c r="B84" t="str">
        <f>Database!A85</f>
        <v xml:space="preserve">Valrhona Caraibe </v>
      </c>
    </row>
    <row r="85" spans="1:2" x14ac:dyDescent="0.15">
      <c r="A85" t="e">
        <f>#REF!</f>
        <v>#REF!</v>
      </c>
      <c r="B85" t="str">
        <f>Database!A86</f>
        <v>Valrhona Caramelia</v>
      </c>
    </row>
    <row r="86" spans="1:2" x14ac:dyDescent="0.15">
      <c r="A86" t="e">
        <f>#REF!</f>
        <v>#REF!</v>
      </c>
      <c r="B86" t="str">
        <f>Database!A87</f>
        <v>Valrhona Dulcey</v>
      </c>
    </row>
    <row r="87" spans="1:2" x14ac:dyDescent="0.15">
      <c r="A87" t="e">
        <f>#REF!</f>
        <v>#REF!</v>
      </c>
      <c r="B87" t="str">
        <f>Database!A88</f>
        <v xml:space="preserve">Valrhona Equatorial latte </v>
      </c>
    </row>
    <row r="88" spans="1:2" x14ac:dyDescent="0.15">
      <c r="A88" t="e">
        <f>#REF!</f>
        <v>#REF!</v>
      </c>
      <c r="B88" t="str">
        <f>Database!A89</f>
        <v>Valrhona Equatoriale noire</v>
      </c>
    </row>
    <row r="89" spans="1:2" x14ac:dyDescent="0.15">
      <c r="A89" t="e">
        <f>#REF!</f>
        <v>#REF!</v>
      </c>
      <c r="B89" t="str">
        <f>Database!A90</f>
        <v>Valrhona Guanaja</v>
      </c>
    </row>
    <row r="90" spans="1:2" x14ac:dyDescent="0.15">
      <c r="A90" t="e">
        <f>#REF!</f>
        <v>#REF!</v>
      </c>
      <c r="B90" t="str">
        <f>Database!A91</f>
        <v>Valrhona Ivoire</v>
      </c>
    </row>
    <row r="91" spans="1:2" x14ac:dyDescent="0.15">
      <c r="A91" t="e">
        <f>#REF!</f>
        <v>#REF!</v>
      </c>
      <c r="B91" t="str">
        <f>Database!A92</f>
        <v>Valrhona Jivara</v>
      </c>
    </row>
    <row r="92" spans="1:2" x14ac:dyDescent="0.15">
      <c r="A92" t="e">
        <f>#REF!</f>
        <v>#REF!</v>
      </c>
      <c r="B92" t="str">
        <f>Database!A93</f>
        <v>Valrhona Mananka</v>
      </c>
    </row>
    <row r="93" spans="1:2" x14ac:dyDescent="0.15">
      <c r="A93" t="e">
        <f>#REF!</f>
        <v>#REF!</v>
      </c>
      <c r="B93" t="str">
        <f>Database!A94</f>
        <v>Valrhona Manjari</v>
      </c>
    </row>
    <row r="94" spans="1:2" x14ac:dyDescent="0.15">
      <c r="A94" t="e">
        <f>#REF!</f>
        <v>#REF!</v>
      </c>
      <c r="B94" t="str">
        <f>Database!A95</f>
        <v>Valrhona Nyanbago</v>
      </c>
    </row>
    <row r="95" spans="1:2" x14ac:dyDescent="0.15">
      <c r="A95" t="e">
        <f>#REF!</f>
        <v>#REF!</v>
      </c>
      <c r="B95" t="str">
        <f>Database!A96</f>
        <v>Valrhona Strawberry</v>
      </c>
    </row>
    <row r="96" spans="1:2" x14ac:dyDescent="0.15">
      <c r="A96" t="e">
        <f>#REF!</f>
        <v>#REF!</v>
      </c>
      <c r="B96" t="str">
        <f>Database!A97</f>
        <v>Valrhona Tainori</v>
      </c>
    </row>
    <row r="97" spans="1:2" x14ac:dyDescent="0.15">
      <c r="A97" t="e">
        <f>#REF!</f>
        <v>#REF!</v>
      </c>
      <c r="B97" t="str">
        <f>Database!A98</f>
        <v>water</v>
      </c>
    </row>
    <row r="98" spans="1:2" x14ac:dyDescent="0.15">
      <c r="A98" t="e">
        <f>#REF!</f>
        <v>#REF!</v>
      </c>
      <c r="B98" t="str">
        <f>Database!A99</f>
        <v>zest lemon</v>
      </c>
    </row>
    <row r="99" spans="1:2" x14ac:dyDescent="0.15">
      <c r="A99" t="e">
        <f>#REF!</f>
        <v>#REF!</v>
      </c>
      <c r="B99" t="str">
        <f>Database!A100</f>
        <v>zest orange</v>
      </c>
    </row>
    <row r="100" spans="1:2" x14ac:dyDescent="0.15">
      <c r="A100" t="e">
        <f>#REF!</f>
        <v>#REF!</v>
      </c>
      <c r="B100" t="str">
        <f>Database!A101</f>
        <v>Сливки 33%</v>
      </c>
    </row>
    <row r="101" spans="1:2" x14ac:dyDescent="0.15">
      <c r="A101" t="e">
        <f>#REF!</f>
        <v>#REF!</v>
      </c>
      <c r="B101" t="str">
        <f>Database!A102</f>
        <v>Barry Madirofolo</v>
      </c>
    </row>
    <row r="102" spans="1:2" x14ac:dyDescent="0.15">
      <c r="A102" t="e">
        <f>#REF!</f>
        <v>#REF!</v>
      </c>
      <c r="B102" t="str">
        <f>Database!A103</f>
        <v>Barry Alunga</v>
      </c>
    </row>
    <row r="103" spans="1:2" x14ac:dyDescent="0.15">
      <c r="A103" t="e">
        <f>#REF!</f>
        <v>#REF!</v>
      </c>
      <c r="B103" t="str">
        <f>Database!A104</f>
        <v>Barry Concorde</v>
      </c>
    </row>
    <row r="104" spans="1:2" x14ac:dyDescent="0.15">
      <c r="A104" t="e">
        <f>#REF!</f>
        <v>#REF!</v>
      </c>
      <c r="B104" t="str">
        <f>Database!A105</f>
        <v>Barry Louvre</v>
      </c>
    </row>
    <row r="105" spans="1:2" x14ac:dyDescent="0.15">
      <c r="A105" t="e">
        <f>#REF!</f>
        <v>#REF!</v>
      </c>
      <c r="B105" t="str">
        <f>Database!A106</f>
        <v>Barry Force Noir</v>
      </c>
    </row>
    <row r="106" spans="1:2" x14ac:dyDescent="0.15">
      <c r="A106" t="e">
        <f>#REF!</f>
        <v>#REF!</v>
      </c>
      <c r="B106" t="str">
        <f>Database!A107</f>
        <v>Valrhona Bahibe</v>
      </c>
    </row>
    <row r="107" spans="1:2" x14ac:dyDescent="0.15">
      <c r="A107" t="e">
        <f>#REF!</f>
        <v>#REF!</v>
      </c>
      <c r="B107" t="str">
        <f>Database!A108</f>
        <v>alco 45%</v>
      </c>
    </row>
    <row r="108" spans="1:2" x14ac:dyDescent="0.15">
      <c r="A108" t="e">
        <f>#REF!</f>
        <v>#REF!</v>
      </c>
      <c r="B108" t="str">
        <f>Database!A109</f>
        <v>pure cacao paste</v>
      </c>
    </row>
    <row r="109" spans="1:2" x14ac:dyDescent="0.15">
      <c r="A109" t="e">
        <f>#REF!</f>
        <v>#REF!</v>
      </c>
      <c r="B109" t="str">
        <f>Database!A110</f>
        <v>Valrhona Almonds inspiration</v>
      </c>
    </row>
    <row r="110" spans="1:2" x14ac:dyDescent="0.15">
      <c r="A110" t="e">
        <f>#REF!</f>
        <v>#REF!</v>
      </c>
      <c r="B110" t="str">
        <f>Database!A111</f>
        <v>citric solution</v>
      </c>
    </row>
    <row r="111" spans="1:2" x14ac:dyDescent="0.15">
      <c r="A111" t="e">
        <f>#REF!</f>
        <v>#REF!</v>
      </c>
      <c r="B111" t="str">
        <f>Database!A112</f>
        <v>sosa fruit puree</v>
      </c>
    </row>
    <row r="112" spans="1:2" x14ac:dyDescent="0.15">
      <c r="A112" t="e">
        <f>#REF!</f>
        <v>#REF!</v>
      </c>
      <c r="B112" t="str">
        <f>Database!A113</f>
        <v>fruit puree banana</v>
      </c>
    </row>
    <row r="113" spans="1:2" x14ac:dyDescent="0.15">
      <c r="A113" t="e">
        <f>#REF!</f>
        <v>#REF!</v>
      </c>
      <c r="B113" t="str">
        <f>Database!A114</f>
        <v>thina</v>
      </c>
    </row>
    <row r="114" spans="1:2" x14ac:dyDescent="0.15">
      <c r="A114" t="e">
        <f>#REF!</f>
        <v>#REF!</v>
      </c>
      <c r="B114" t="str">
        <f>Database!A115</f>
        <v>sel</v>
      </c>
    </row>
    <row r="115" spans="1:2" x14ac:dyDescent="0.15">
      <c r="A115" t="e">
        <f>#REF!</f>
        <v>#REF!</v>
      </c>
      <c r="B115" t="str">
        <f>Database!A116</f>
        <v>valrhona Biskelia</v>
      </c>
    </row>
    <row r="116" spans="1:2" x14ac:dyDescent="0.15">
      <c r="A116" t="e">
        <f>#REF!</f>
        <v>#REF!</v>
      </c>
      <c r="B116" t="str">
        <f>Database!A117</f>
        <v>Valrhona Opalys</v>
      </c>
    </row>
    <row r="117" spans="1:2" x14ac:dyDescent="0.15">
      <c r="A117" t="e">
        <f>#REF!</f>
        <v>#REF!</v>
      </c>
      <c r="B117" t="str">
        <f>Database!A118</f>
        <v>Valrhona Tanariva</v>
      </c>
    </row>
    <row r="118" spans="1:2" x14ac:dyDescent="0.15">
      <c r="A118" t="e">
        <f>#REF!</f>
        <v>#REF!</v>
      </c>
      <c r="B118">
        <f>Database!A119</f>
        <v>0</v>
      </c>
    </row>
    <row r="119" spans="1:2" x14ac:dyDescent="0.15">
      <c r="A119" t="e">
        <f>#REF!</f>
        <v>#REF!</v>
      </c>
      <c r="B119">
        <f>Database!A120</f>
        <v>0</v>
      </c>
    </row>
    <row r="120" spans="1:2" x14ac:dyDescent="0.15">
      <c r="A120" t="e">
        <f>#REF!</f>
        <v>#REF!</v>
      </c>
      <c r="B120">
        <f>Database!A121</f>
        <v>0</v>
      </c>
    </row>
    <row r="121" spans="1:2" x14ac:dyDescent="0.15">
      <c r="A121" t="e">
        <f>#REF!</f>
        <v>#REF!</v>
      </c>
      <c r="B121">
        <f>Database!A122</f>
        <v>0</v>
      </c>
    </row>
    <row r="122" spans="1:2" x14ac:dyDescent="0.15">
      <c r="A122" t="e">
        <f>#REF!</f>
        <v>#REF!</v>
      </c>
      <c r="B122">
        <f>Database!A123</f>
        <v>0</v>
      </c>
    </row>
    <row r="123" spans="1:2" x14ac:dyDescent="0.15">
      <c r="A123" t="e">
        <f>#REF!</f>
        <v>#REF!</v>
      </c>
      <c r="B123">
        <f>Database!A124</f>
        <v>0</v>
      </c>
    </row>
    <row r="124" spans="1:2" x14ac:dyDescent="0.15">
      <c r="A124" t="e">
        <f>#REF!</f>
        <v>#REF!</v>
      </c>
      <c r="B124">
        <f>Database!A125</f>
        <v>0</v>
      </c>
    </row>
    <row r="125" spans="1:2" x14ac:dyDescent="0.15">
      <c r="A125" t="e">
        <f>#REF!</f>
        <v>#REF!</v>
      </c>
      <c r="B125">
        <f>Database!A126</f>
        <v>0</v>
      </c>
    </row>
    <row r="126" spans="1:2" x14ac:dyDescent="0.15">
      <c r="A126" t="e">
        <f>#REF!</f>
        <v>#REF!</v>
      </c>
      <c r="B126">
        <f>Database!A127</f>
        <v>0</v>
      </c>
    </row>
    <row r="127" spans="1:2" x14ac:dyDescent="0.15">
      <c r="A127" t="e">
        <f>#REF!</f>
        <v>#REF!</v>
      </c>
      <c r="B127">
        <f>Database!A128</f>
        <v>0</v>
      </c>
    </row>
    <row r="128" spans="1:2" x14ac:dyDescent="0.15">
      <c r="A128" t="e">
        <f>#REF!</f>
        <v>#REF!</v>
      </c>
      <c r="B128">
        <f>Database!A129</f>
        <v>0</v>
      </c>
    </row>
    <row r="129" spans="1:2" x14ac:dyDescent="0.15">
      <c r="A129" t="e">
        <f>#REF!</f>
        <v>#REF!</v>
      </c>
      <c r="B129">
        <f>Database!A130</f>
        <v>0</v>
      </c>
    </row>
    <row r="130" spans="1:2" x14ac:dyDescent="0.15">
      <c r="A130" t="e">
        <f>#REF!</f>
        <v>#REF!</v>
      </c>
      <c r="B130">
        <f>Database!A131</f>
        <v>0</v>
      </c>
    </row>
    <row r="131" spans="1:2" x14ac:dyDescent="0.15">
      <c r="A131" t="e">
        <f>#REF!</f>
        <v>#REF!</v>
      </c>
      <c r="B131">
        <f>Database!A132</f>
        <v>0</v>
      </c>
    </row>
    <row r="132" spans="1:2" x14ac:dyDescent="0.15">
      <c r="A132" t="e">
        <f>#REF!</f>
        <v>#REF!</v>
      </c>
      <c r="B132">
        <f>Database!A133</f>
        <v>0</v>
      </c>
    </row>
    <row r="133" spans="1:2" x14ac:dyDescent="0.15">
      <c r="A133" t="e">
        <f>#REF!</f>
        <v>#REF!</v>
      </c>
      <c r="B133">
        <f>Database!A134</f>
        <v>0</v>
      </c>
    </row>
    <row r="134" spans="1:2" x14ac:dyDescent="0.15">
      <c r="A134" t="e">
        <f>#REF!</f>
        <v>#REF!</v>
      </c>
      <c r="B134">
        <f>Database!A135</f>
        <v>0</v>
      </c>
    </row>
    <row r="135" spans="1:2" x14ac:dyDescent="0.15">
      <c r="A135" t="e">
        <f>#REF!</f>
        <v>#REF!</v>
      </c>
      <c r="B135">
        <f>Database!A136</f>
        <v>0</v>
      </c>
    </row>
    <row r="136" spans="1:2" x14ac:dyDescent="0.15">
      <c r="A136" t="e">
        <f>#REF!</f>
        <v>#REF!</v>
      </c>
      <c r="B136">
        <f>Database!A137</f>
        <v>0</v>
      </c>
    </row>
    <row r="137" spans="1:2" x14ac:dyDescent="0.15">
      <c r="A137" t="e">
        <f>#REF!</f>
        <v>#REF!</v>
      </c>
      <c r="B137">
        <f>Database!A138</f>
        <v>0</v>
      </c>
    </row>
    <row r="138" spans="1:2" x14ac:dyDescent="0.15">
      <c r="A138" t="e">
        <f>#REF!</f>
        <v>#REF!</v>
      </c>
      <c r="B138">
        <f>Database!A139</f>
        <v>0</v>
      </c>
    </row>
    <row r="139" spans="1:2" x14ac:dyDescent="0.15">
      <c r="A139" t="e">
        <f>#REF!</f>
        <v>#REF!</v>
      </c>
      <c r="B139">
        <f>Database!A140</f>
        <v>0</v>
      </c>
    </row>
    <row r="140" spans="1:2" x14ac:dyDescent="0.15">
      <c r="A140" t="e">
        <f>#REF!</f>
        <v>#REF!</v>
      </c>
      <c r="B140">
        <f>Database!A141</f>
        <v>0</v>
      </c>
    </row>
    <row r="141" spans="1:2" x14ac:dyDescent="0.15">
      <c r="A141" t="e">
        <f>#REF!</f>
        <v>#REF!</v>
      </c>
      <c r="B141">
        <f>Database!A142</f>
        <v>0</v>
      </c>
    </row>
    <row r="142" spans="1:2" x14ac:dyDescent="0.15">
      <c r="A142" t="e">
        <f>#REF!</f>
        <v>#REF!</v>
      </c>
      <c r="B142">
        <f>Database!A143</f>
        <v>0</v>
      </c>
    </row>
    <row r="143" spans="1:2" x14ac:dyDescent="0.15">
      <c r="A143" t="e">
        <f>#REF!</f>
        <v>#REF!</v>
      </c>
      <c r="B143">
        <f>Database!A144</f>
        <v>0</v>
      </c>
    </row>
    <row r="144" spans="1:2" x14ac:dyDescent="0.15">
      <c r="A144" t="e">
        <f>#REF!</f>
        <v>#REF!</v>
      </c>
      <c r="B144">
        <f>Database!A145</f>
        <v>0</v>
      </c>
    </row>
    <row r="145" spans="1:2" x14ac:dyDescent="0.15">
      <c r="A145" t="e">
        <f>#REF!</f>
        <v>#REF!</v>
      </c>
      <c r="B145">
        <f>Database!A146</f>
        <v>0</v>
      </c>
    </row>
    <row r="146" spans="1:2" x14ac:dyDescent="0.15">
      <c r="A146" t="e">
        <f>#REF!</f>
        <v>#REF!</v>
      </c>
      <c r="B146">
        <f>Database!A147</f>
        <v>0</v>
      </c>
    </row>
    <row r="147" spans="1:2" x14ac:dyDescent="0.15">
      <c r="A147" t="e">
        <f>#REF!</f>
        <v>#REF!</v>
      </c>
      <c r="B147">
        <f>Database!A148</f>
        <v>0</v>
      </c>
    </row>
    <row r="148" spans="1:2" x14ac:dyDescent="0.15">
      <c r="A148" t="e">
        <f>#REF!</f>
        <v>#REF!</v>
      </c>
      <c r="B148">
        <f>Database!A149</f>
        <v>0</v>
      </c>
    </row>
    <row r="149" spans="1:2" x14ac:dyDescent="0.15">
      <c r="A149" t="e">
        <f>#REF!</f>
        <v>#REF!</v>
      </c>
      <c r="B149">
        <f>Database!A150</f>
        <v>0</v>
      </c>
    </row>
    <row r="150" spans="1:2" x14ac:dyDescent="0.15">
      <c r="A150" t="e">
        <f>#REF!</f>
        <v>#REF!</v>
      </c>
      <c r="B150">
        <f>Database!A151</f>
        <v>0</v>
      </c>
    </row>
    <row r="151" spans="1:2" x14ac:dyDescent="0.15">
      <c r="A151" t="e">
        <f>#REF!</f>
        <v>#REF!</v>
      </c>
      <c r="B151">
        <f>Database!A152</f>
        <v>0</v>
      </c>
    </row>
    <row r="152" spans="1:2" x14ac:dyDescent="0.15">
      <c r="A152" t="e">
        <f>#REF!</f>
        <v>#REF!</v>
      </c>
      <c r="B152">
        <f>Database!A153</f>
        <v>0</v>
      </c>
    </row>
    <row r="153" spans="1:2" x14ac:dyDescent="0.15">
      <c r="A153" t="e">
        <f>#REF!</f>
        <v>#REF!</v>
      </c>
      <c r="B153">
        <f>Database!A154</f>
        <v>0</v>
      </c>
    </row>
    <row r="154" spans="1:2" x14ac:dyDescent="0.15">
      <c r="A154" t="e">
        <f>#REF!</f>
        <v>#REF!</v>
      </c>
      <c r="B154">
        <f>Database!A155</f>
        <v>0</v>
      </c>
    </row>
    <row r="155" spans="1:2" x14ac:dyDescent="0.15">
      <c r="A155" t="e">
        <f>#REF!</f>
        <v>#REF!</v>
      </c>
      <c r="B155">
        <f>Database!A156</f>
        <v>0</v>
      </c>
    </row>
    <row r="156" spans="1:2" x14ac:dyDescent="0.15">
      <c r="A156" t="e">
        <f>#REF!</f>
        <v>#REF!</v>
      </c>
      <c r="B156">
        <f>Database!A157</f>
        <v>0</v>
      </c>
    </row>
    <row r="157" spans="1:2" x14ac:dyDescent="0.15">
      <c r="A157" t="e">
        <f>#REF!</f>
        <v>#REF!</v>
      </c>
      <c r="B157">
        <f>Database!A158</f>
        <v>0</v>
      </c>
    </row>
    <row r="158" spans="1:2" x14ac:dyDescent="0.15">
      <c r="A158" t="e">
        <f>#REF!</f>
        <v>#REF!</v>
      </c>
      <c r="B158">
        <f>Database!A159</f>
        <v>0</v>
      </c>
    </row>
    <row r="159" spans="1:2" x14ac:dyDescent="0.15">
      <c r="A159" t="e">
        <f>#REF!</f>
        <v>#REF!</v>
      </c>
      <c r="B159">
        <f>Database!A160</f>
        <v>0</v>
      </c>
    </row>
    <row r="160" spans="1:2" x14ac:dyDescent="0.15">
      <c r="A160" t="e">
        <f>#REF!</f>
        <v>#REF!</v>
      </c>
      <c r="B160">
        <f>Database!A161</f>
        <v>0</v>
      </c>
    </row>
    <row r="161" spans="1:2" x14ac:dyDescent="0.15">
      <c r="A161" t="e">
        <f>#REF!</f>
        <v>#REF!</v>
      </c>
      <c r="B161">
        <f>Database!A162</f>
        <v>0</v>
      </c>
    </row>
    <row r="162" spans="1:2" x14ac:dyDescent="0.15">
      <c r="A162" t="e">
        <f>#REF!</f>
        <v>#REF!</v>
      </c>
      <c r="B162">
        <f>Database!A163</f>
        <v>0</v>
      </c>
    </row>
    <row r="163" spans="1:2" x14ac:dyDescent="0.15">
      <c r="A163" t="e">
        <f>#REF!</f>
        <v>#REF!</v>
      </c>
      <c r="B163">
        <f>Database!A164</f>
        <v>0</v>
      </c>
    </row>
    <row r="164" spans="1:2" x14ac:dyDescent="0.15">
      <c r="A164" t="e">
        <f>#REF!</f>
        <v>#REF!</v>
      </c>
      <c r="B164">
        <f>Database!A165</f>
        <v>0</v>
      </c>
    </row>
    <row r="165" spans="1:2" x14ac:dyDescent="0.15">
      <c r="A165" t="e">
        <f>#REF!</f>
        <v>#REF!</v>
      </c>
      <c r="B165">
        <f>Database!A166</f>
        <v>0</v>
      </c>
    </row>
    <row r="166" spans="1:2" x14ac:dyDescent="0.15">
      <c r="A166" t="e">
        <f>#REF!</f>
        <v>#REF!</v>
      </c>
      <c r="B166">
        <f>Database!A167</f>
        <v>0</v>
      </c>
    </row>
    <row r="167" spans="1:2" x14ac:dyDescent="0.15">
      <c r="A167" t="e">
        <f>#REF!</f>
        <v>#REF!</v>
      </c>
      <c r="B167">
        <f>Database!A168</f>
        <v>0</v>
      </c>
    </row>
    <row r="168" spans="1:2" x14ac:dyDescent="0.15">
      <c r="A168" t="e">
        <f>#REF!</f>
        <v>#REF!</v>
      </c>
      <c r="B168">
        <f>Database!A169</f>
        <v>0</v>
      </c>
    </row>
    <row r="169" spans="1:2" x14ac:dyDescent="0.15">
      <c r="A169" t="e">
        <f>#REF!</f>
        <v>#REF!</v>
      </c>
      <c r="B169">
        <f>Database!A170</f>
        <v>0</v>
      </c>
    </row>
    <row r="170" spans="1:2" x14ac:dyDescent="0.15">
      <c r="A170" t="e">
        <f>#REF!</f>
        <v>#REF!</v>
      </c>
      <c r="B170">
        <f>Database!A171</f>
        <v>0</v>
      </c>
    </row>
    <row r="171" spans="1:2" x14ac:dyDescent="0.15">
      <c r="A171" t="e">
        <f>#REF!</f>
        <v>#REF!</v>
      </c>
      <c r="B171">
        <f>Database!A172</f>
        <v>0</v>
      </c>
    </row>
    <row r="172" spans="1:2" x14ac:dyDescent="0.15">
      <c r="A172" t="e">
        <f>#REF!</f>
        <v>#REF!</v>
      </c>
      <c r="B172">
        <f>Database!A173</f>
        <v>0</v>
      </c>
    </row>
    <row r="173" spans="1:2" x14ac:dyDescent="0.15">
      <c r="A173" t="e">
        <f>#REF!</f>
        <v>#REF!</v>
      </c>
      <c r="B173">
        <f>Database!A174</f>
        <v>0</v>
      </c>
    </row>
    <row r="174" spans="1:2" x14ac:dyDescent="0.15">
      <c r="A174" t="e">
        <f>#REF!</f>
        <v>#REF!</v>
      </c>
      <c r="B174">
        <f>Database!A175</f>
        <v>0</v>
      </c>
    </row>
    <row r="175" spans="1:2" x14ac:dyDescent="0.15">
      <c r="A175" t="e">
        <f>#REF!</f>
        <v>#REF!</v>
      </c>
      <c r="B175">
        <f>Database!A176</f>
        <v>0</v>
      </c>
    </row>
    <row r="176" spans="1:2" x14ac:dyDescent="0.15">
      <c r="A176" t="e">
        <f>#REF!</f>
        <v>#REF!</v>
      </c>
      <c r="B176">
        <f>Database!A177</f>
        <v>0</v>
      </c>
    </row>
    <row r="177" spans="1:2" x14ac:dyDescent="0.15">
      <c r="A177" t="e">
        <f>#REF!</f>
        <v>#REF!</v>
      </c>
      <c r="B177">
        <f>Database!A178</f>
        <v>0</v>
      </c>
    </row>
    <row r="178" spans="1:2" x14ac:dyDescent="0.15">
      <c r="A178" t="e">
        <f>#REF!</f>
        <v>#REF!</v>
      </c>
      <c r="B178">
        <f>Database!A179</f>
        <v>0</v>
      </c>
    </row>
    <row r="179" spans="1:2" x14ac:dyDescent="0.15">
      <c r="A179" t="e">
        <f>#REF!</f>
        <v>#REF!</v>
      </c>
      <c r="B179">
        <f>Database!A180</f>
        <v>0</v>
      </c>
    </row>
    <row r="180" spans="1:2" x14ac:dyDescent="0.15">
      <c r="A180" t="e">
        <f>#REF!</f>
        <v>#REF!</v>
      </c>
      <c r="B180">
        <f>Database!A181</f>
        <v>0</v>
      </c>
    </row>
    <row r="181" spans="1:2" x14ac:dyDescent="0.15">
      <c r="A181" t="e">
        <f>#REF!</f>
        <v>#REF!</v>
      </c>
      <c r="B181">
        <f>Database!A182</f>
        <v>0</v>
      </c>
    </row>
    <row r="182" spans="1:2" x14ac:dyDescent="0.15">
      <c r="A182" t="e">
        <f>#REF!</f>
        <v>#REF!</v>
      </c>
      <c r="B182">
        <f>Database!A183</f>
        <v>0</v>
      </c>
    </row>
    <row r="183" spans="1:2" x14ac:dyDescent="0.15">
      <c r="A183" t="e">
        <f>#REF!</f>
        <v>#REF!</v>
      </c>
      <c r="B183">
        <f>Database!A184</f>
        <v>0</v>
      </c>
    </row>
    <row r="184" spans="1:2" x14ac:dyDescent="0.15">
      <c r="A184" t="e">
        <f>#REF!</f>
        <v>#REF!</v>
      </c>
      <c r="B184">
        <f>Database!A185</f>
        <v>0</v>
      </c>
    </row>
    <row r="185" spans="1:2" x14ac:dyDescent="0.15">
      <c r="A185" t="e">
        <f>#REF!</f>
        <v>#REF!</v>
      </c>
      <c r="B185">
        <f>Database!A186</f>
        <v>0</v>
      </c>
    </row>
    <row r="186" spans="1:2" x14ac:dyDescent="0.15">
      <c r="A186" t="e">
        <f>#REF!</f>
        <v>#REF!</v>
      </c>
      <c r="B186">
        <f>Database!A187</f>
        <v>0</v>
      </c>
    </row>
    <row r="187" spans="1:2" x14ac:dyDescent="0.15">
      <c r="A187" t="e">
        <f>#REF!</f>
        <v>#REF!</v>
      </c>
      <c r="B187">
        <f>Database!A188</f>
        <v>0</v>
      </c>
    </row>
    <row r="188" spans="1:2" x14ac:dyDescent="0.15">
      <c r="A188" t="e">
        <f>#REF!</f>
        <v>#REF!</v>
      </c>
      <c r="B188">
        <f>Database!A189</f>
        <v>0</v>
      </c>
    </row>
    <row r="189" spans="1:2" x14ac:dyDescent="0.15">
      <c r="A189" t="e">
        <f>#REF!</f>
        <v>#REF!</v>
      </c>
      <c r="B189">
        <f>Database!A190</f>
        <v>0</v>
      </c>
    </row>
    <row r="190" spans="1:2" x14ac:dyDescent="0.15">
      <c r="A190" t="e">
        <f>#REF!</f>
        <v>#REF!</v>
      </c>
      <c r="B190">
        <f>Database!A191</f>
        <v>0</v>
      </c>
    </row>
    <row r="191" spans="1:2" x14ac:dyDescent="0.15">
      <c r="A191" t="e">
        <f>#REF!</f>
        <v>#REF!</v>
      </c>
      <c r="B191">
        <f>Database!A192</f>
        <v>0</v>
      </c>
    </row>
    <row r="192" spans="1:2" x14ac:dyDescent="0.15">
      <c r="A192" t="e">
        <f>#REF!</f>
        <v>#REF!</v>
      </c>
      <c r="B192">
        <f>Database!A193</f>
        <v>0</v>
      </c>
    </row>
    <row r="193" spans="1:2" x14ac:dyDescent="0.15">
      <c r="A193" t="e">
        <f>#REF!</f>
        <v>#REF!</v>
      </c>
      <c r="B193">
        <f>Database!A194</f>
        <v>0</v>
      </c>
    </row>
    <row r="194" spans="1:2" x14ac:dyDescent="0.15">
      <c r="A194" t="e">
        <f>#REF!</f>
        <v>#REF!</v>
      </c>
      <c r="B194">
        <f>Database!A195</f>
        <v>0</v>
      </c>
    </row>
    <row r="195" spans="1:2" x14ac:dyDescent="0.15">
      <c r="A195" t="e">
        <f>#REF!</f>
        <v>#REF!</v>
      </c>
      <c r="B195">
        <f>Database!A196</f>
        <v>0</v>
      </c>
    </row>
    <row r="196" spans="1:2" x14ac:dyDescent="0.15">
      <c r="A196" t="e">
        <f>#REF!</f>
        <v>#REF!</v>
      </c>
      <c r="B196">
        <f>Database!A197</f>
        <v>0</v>
      </c>
    </row>
    <row r="197" spans="1:2" x14ac:dyDescent="0.15">
      <c r="A197" t="e">
        <f>#REF!</f>
        <v>#REF!</v>
      </c>
      <c r="B197">
        <f>Database!A198</f>
        <v>0</v>
      </c>
    </row>
    <row r="198" spans="1:2" x14ac:dyDescent="0.15">
      <c r="A198" t="e">
        <f>#REF!</f>
        <v>#REF!</v>
      </c>
      <c r="B198">
        <f>Database!A199</f>
        <v>0</v>
      </c>
    </row>
    <row r="199" spans="1:2" x14ac:dyDescent="0.15">
      <c r="A199" t="e">
        <f>#REF!</f>
        <v>#REF!</v>
      </c>
      <c r="B199">
        <f>Database!A200</f>
        <v>0</v>
      </c>
    </row>
    <row r="200" spans="1:2" x14ac:dyDescent="0.15">
      <c r="A200" t="e">
        <f>#REF!</f>
        <v>#REF!</v>
      </c>
      <c r="B200">
        <f>Database!A201</f>
        <v>0</v>
      </c>
    </row>
    <row r="201" spans="1:2" x14ac:dyDescent="0.15">
      <c r="A201" t="e">
        <f>#REF!</f>
        <v>#REF!</v>
      </c>
      <c r="B201">
        <f>Database!A202</f>
        <v>0</v>
      </c>
    </row>
    <row r="202" spans="1:2" x14ac:dyDescent="0.15">
      <c r="A202" t="e">
        <f>#REF!</f>
        <v>#REF!</v>
      </c>
      <c r="B202">
        <f>Database!A203</f>
        <v>0</v>
      </c>
    </row>
    <row r="203" spans="1:2" x14ac:dyDescent="0.15">
      <c r="A203" t="e">
        <f>#REF!</f>
        <v>#REF!</v>
      </c>
      <c r="B203">
        <f>Database!A204</f>
        <v>0</v>
      </c>
    </row>
    <row r="204" spans="1:2" x14ac:dyDescent="0.15">
      <c r="A204" t="e">
        <f>#REF!</f>
        <v>#REF!</v>
      </c>
      <c r="B204">
        <f>Database!A205</f>
        <v>0</v>
      </c>
    </row>
    <row r="205" spans="1:2" x14ac:dyDescent="0.15">
      <c r="A205" t="e">
        <f>#REF!</f>
        <v>#REF!</v>
      </c>
      <c r="B205">
        <f>Database!A206</f>
        <v>0</v>
      </c>
    </row>
    <row r="206" spans="1:2" x14ac:dyDescent="0.15">
      <c r="A206" t="e">
        <f>#REF!</f>
        <v>#REF!</v>
      </c>
      <c r="B206">
        <f>Database!A207</f>
        <v>0</v>
      </c>
    </row>
    <row r="207" spans="1:2" x14ac:dyDescent="0.15">
      <c r="A207" t="e">
        <f>#REF!</f>
        <v>#REF!</v>
      </c>
      <c r="B207">
        <f>Database!A208</f>
        <v>0</v>
      </c>
    </row>
    <row r="208" spans="1:2" x14ac:dyDescent="0.15">
      <c r="B208">
        <f>Database!A209</f>
        <v>0</v>
      </c>
    </row>
    <row r="209" spans="2:2" x14ac:dyDescent="0.15">
      <c r="B209">
        <f>Database!A210</f>
        <v>0</v>
      </c>
    </row>
    <row r="210" spans="2:2" x14ac:dyDescent="0.15">
      <c r="B210">
        <f>Database!A211</f>
        <v>0</v>
      </c>
    </row>
    <row r="211" spans="2:2" x14ac:dyDescent="0.15">
      <c r="B211">
        <f>Database!A212</f>
        <v>0</v>
      </c>
    </row>
    <row r="212" spans="2:2" x14ac:dyDescent="0.15">
      <c r="B212">
        <f>Database!A213</f>
        <v>0</v>
      </c>
    </row>
    <row r="213" spans="2:2" x14ac:dyDescent="0.15">
      <c r="B213">
        <f>Database!A214</f>
        <v>0</v>
      </c>
    </row>
    <row r="214" spans="2:2" x14ac:dyDescent="0.15">
      <c r="B214">
        <f>Database!A215</f>
        <v>0</v>
      </c>
    </row>
    <row r="215" spans="2:2" x14ac:dyDescent="0.15">
      <c r="B215">
        <f>Database!A216</f>
        <v>0</v>
      </c>
    </row>
    <row r="216" spans="2:2" x14ac:dyDescent="0.15">
      <c r="B216">
        <f>Database!A217</f>
        <v>0</v>
      </c>
    </row>
    <row r="217" spans="2:2" x14ac:dyDescent="0.15">
      <c r="B217">
        <f>Database!A218</f>
        <v>0</v>
      </c>
    </row>
    <row r="218" spans="2:2" x14ac:dyDescent="0.15">
      <c r="B218">
        <f>Database!A219</f>
        <v>0</v>
      </c>
    </row>
    <row r="219" spans="2:2" x14ac:dyDescent="0.15">
      <c r="B219">
        <f>Database!A220</f>
        <v>0</v>
      </c>
    </row>
    <row r="220" spans="2:2" x14ac:dyDescent="0.15">
      <c r="B220">
        <f>Database!A221</f>
        <v>0</v>
      </c>
    </row>
    <row r="221" spans="2:2" x14ac:dyDescent="0.15">
      <c r="B221">
        <f>Database!A222</f>
        <v>0</v>
      </c>
    </row>
    <row r="222" spans="2:2" x14ac:dyDescent="0.15">
      <c r="B222">
        <f>Database!A223</f>
        <v>0</v>
      </c>
    </row>
    <row r="223" spans="2:2" x14ac:dyDescent="0.15">
      <c r="B223">
        <f>Database!A224</f>
        <v>0</v>
      </c>
    </row>
    <row r="224" spans="2:2" x14ac:dyDescent="0.15">
      <c r="B224">
        <f>Database!A225</f>
        <v>0</v>
      </c>
    </row>
    <row r="225" spans="2:2" x14ac:dyDescent="0.15">
      <c r="B225">
        <f>Database!A226</f>
        <v>0</v>
      </c>
    </row>
    <row r="226" spans="2:2" x14ac:dyDescent="0.15">
      <c r="B226">
        <f>Database!A227</f>
        <v>0</v>
      </c>
    </row>
    <row r="227" spans="2:2" x14ac:dyDescent="0.15">
      <c r="B227">
        <f>Database!A228</f>
        <v>0</v>
      </c>
    </row>
    <row r="228" spans="2:2" x14ac:dyDescent="0.15">
      <c r="B228">
        <f>Database!A229</f>
        <v>0</v>
      </c>
    </row>
    <row r="229" spans="2:2" x14ac:dyDescent="0.15">
      <c r="B229">
        <f>Database!A230</f>
        <v>0</v>
      </c>
    </row>
    <row r="230" spans="2:2" x14ac:dyDescent="0.15">
      <c r="B230">
        <f>Database!A231</f>
        <v>0</v>
      </c>
    </row>
    <row r="231" spans="2:2" x14ac:dyDescent="0.15">
      <c r="B231">
        <f>Database!A232</f>
        <v>0</v>
      </c>
    </row>
    <row r="232" spans="2:2" x14ac:dyDescent="0.15">
      <c r="B232">
        <f>Database!A233</f>
        <v>0</v>
      </c>
    </row>
    <row r="233" spans="2:2" x14ac:dyDescent="0.15">
      <c r="B233">
        <f>Database!A234</f>
        <v>0</v>
      </c>
    </row>
    <row r="234" spans="2:2" x14ac:dyDescent="0.15">
      <c r="B234">
        <f>Database!A235</f>
        <v>0</v>
      </c>
    </row>
    <row r="235" spans="2:2" x14ac:dyDescent="0.15">
      <c r="B235">
        <f>Database!A236</f>
        <v>0</v>
      </c>
    </row>
    <row r="236" spans="2:2" x14ac:dyDescent="0.15">
      <c r="B236">
        <f>Database!A237</f>
        <v>0</v>
      </c>
    </row>
    <row r="237" spans="2:2" x14ac:dyDescent="0.15">
      <c r="B237">
        <f>Database!A238</f>
        <v>0</v>
      </c>
    </row>
    <row r="238" spans="2:2" x14ac:dyDescent="0.15">
      <c r="B238">
        <f>Database!A239</f>
        <v>0</v>
      </c>
    </row>
    <row r="239" spans="2:2" x14ac:dyDescent="0.15">
      <c r="B239">
        <f>Database!A240</f>
        <v>0</v>
      </c>
    </row>
    <row r="240" spans="2:2" x14ac:dyDescent="0.15">
      <c r="B240">
        <f>Database!A241</f>
        <v>0</v>
      </c>
    </row>
    <row r="241" spans="2:2" x14ac:dyDescent="0.15">
      <c r="B241">
        <f>Database!A242</f>
        <v>0</v>
      </c>
    </row>
    <row r="242" spans="2:2" x14ac:dyDescent="0.15">
      <c r="B242">
        <f>Database!A243</f>
        <v>0</v>
      </c>
    </row>
    <row r="243" spans="2:2" x14ac:dyDescent="0.15">
      <c r="B243">
        <f>Database!A244</f>
        <v>0</v>
      </c>
    </row>
    <row r="244" spans="2:2" x14ac:dyDescent="0.15">
      <c r="B244">
        <f>Database!A245</f>
        <v>0</v>
      </c>
    </row>
    <row r="245" spans="2:2" x14ac:dyDescent="0.15">
      <c r="B245">
        <f>Database!A246</f>
        <v>0</v>
      </c>
    </row>
    <row r="246" spans="2:2" x14ac:dyDescent="0.15">
      <c r="B246">
        <f>Database!A247</f>
        <v>0</v>
      </c>
    </row>
    <row r="247" spans="2:2" x14ac:dyDescent="0.15">
      <c r="B247">
        <f>Database!A248</f>
        <v>0</v>
      </c>
    </row>
    <row r="248" spans="2:2" x14ac:dyDescent="0.15">
      <c r="B248">
        <f>Database!A249</f>
        <v>0</v>
      </c>
    </row>
    <row r="249" spans="2:2" x14ac:dyDescent="0.15">
      <c r="B249">
        <f>Database!A250</f>
        <v>0</v>
      </c>
    </row>
    <row r="250" spans="2:2" x14ac:dyDescent="0.15">
      <c r="B250">
        <f>Database!A251</f>
        <v>0</v>
      </c>
    </row>
    <row r="251" spans="2:2" x14ac:dyDescent="0.15">
      <c r="B251">
        <f>Database!A252</f>
        <v>0</v>
      </c>
    </row>
    <row r="252" spans="2:2" x14ac:dyDescent="0.15">
      <c r="B252">
        <f>Database!A253</f>
        <v>0</v>
      </c>
    </row>
    <row r="253" spans="2:2" x14ac:dyDescent="0.15">
      <c r="B253">
        <f>Database!A254</f>
        <v>0</v>
      </c>
    </row>
    <row r="254" spans="2:2" x14ac:dyDescent="0.15">
      <c r="B254">
        <f>Database!A255</f>
        <v>0</v>
      </c>
    </row>
    <row r="255" spans="2:2" x14ac:dyDescent="0.15">
      <c r="B255">
        <f>Database!A256</f>
        <v>0</v>
      </c>
    </row>
    <row r="256" spans="2:2" x14ac:dyDescent="0.15">
      <c r="B256">
        <f>Database!A257</f>
        <v>0</v>
      </c>
    </row>
    <row r="257" spans="2:2" x14ac:dyDescent="0.15">
      <c r="B257">
        <f>Database!A258</f>
        <v>0</v>
      </c>
    </row>
    <row r="258" spans="2:2" x14ac:dyDescent="0.15">
      <c r="B258">
        <f>Database!A259</f>
        <v>0</v>
      </c>
    </row>
    <row r="259" spans="2:2" x14ac:dyDescent="0.15">
      <c r="B259">
        <f>Database!A260</f>
        <v>0</v>
      </c>
    </row>
    <row r="260" spans="2:2" x14ac:dyDescent="0.15">
      <c r="B260">
        <f>Database!A261</f>
        <v>0</v>
      </c>
    </row>
    <row r="261" spans="2:2" x14ac:dyDescent="0.15">
      <c r="B261">
        <f>Database!A262</f>
        <v>0</v>
      </c>
    </row>
    <row r="262" spans="2:2" x14ac:dyDescent="0.15">
      <c r="B262">
        <f>Database!A263</f>
        <v>0</v>
      </c>
    </row>
    <row r="263" spans="2:2" x14ac:dyDescent="0.15">
      <c r="B263">
        <f>Database!A264</f>
        <v>0</v>
      </c>
    </row>
    <row r="264" spans="2:2" x14ac:dyDescent="0.15">
      <c r="B264">
        <f>Database!A265</f>
        <v>0</v>
      </c>
    </row>
    <row r="265" spans="2:2" x14ac:dyDescent="0.15">
      <c r="B265">
        <f>Database!A266</f>
        <v>0</v>
      </c>
    </row>
    <row r="266" spans="2:2" x14ac:dyDescent="0.15">
      <c r="B266">
        <f>Database!A267</f>
        <v>0</v>
      </c>
    </row>
    <row r="267" spans="2:2" x14ac:dyDescent="0.15">
      <c r="B267">
        <f>Database!A268</f>
        <v>0</v>
      </c>
    </row>
    <row r="268" spans="2:2" x14ac:dyDescent="0.15">
      <c r="B268">
        <f>Database!A269</f>
        <v>0</v>
      </c>
    </row>
    <row r="269" spans="2:2" x14ac:dyDescent="0.15">
      <c r="B269">
        <f>Database!A270</f>
        <v>0</v>
      </c>
    </row>
    <row r="270" spans="2:2" x14ac:dyDescent="0.15">
      <c r="B270">
        <f>Database!A271</f>
        <v>0</v>
      </c>
    </row>
    <row r="271" spans="2:2" x14ac:dyDescent="0.15">
      <c r="B271">
        <f>Database!A272</f>
        <v>0</v>
      </c>
    </row>
    <row r="272" spans="2:2" x14ac:dyDescent="0.15">
      <c r="B272">
        <f>Database!A273</f>
        <v>0</v>
      </c>
    </row>
    <row r="273" spans="2:2" x14ac:dyDescent="0.15">
      <c r="B273">
        <f>Database!A274</f>
        <v>0</v>
      </c>
    </row>
    <row r="274" spans="2:2" x14ac:dyDescent="0.15">
      <c r="B274">
        <f>Database!A275</f>
        <v>0</v>
      </c>
    </row>
    <row r="275" spans="2:2" x14ac:dyDescent="0.15">
      <c r="B275">
        <f>Database!A276</f>
        <v>0</v>
      </c>
    </row>
    <row r="276" spans="2:2" x14ac:dyDescent="0.15">
      <c r="B276">
        <f>Database!A277</f>
        <v>0</v>
      </c>
    </row>
    <row r="277" spans="2:2" x14ac:dyDescent="0.15">
      <c r="B277">
        <f>Database!A278</f>
        <v>0</v>
      </c>
    </row>
    <row r="278" spans="2:2" x14ac:dyDescent="0.15">
      <c r="B278">
        <f>Database!A279</f>
        <v>0</v>
      </c>
    </row>
    <row r="279" spans="2:2" x14ac:dyDescent="0.15">
      <c r="B279">
        <f>Database!A280</f>
        <v>0</v>
      </c>
    </row>
    <row r="280" spans="2:2" x14ac:dyDescent="0.15">
      <c r="B280">
        <f>Database!A281</f>
        <v>0</v>
      </c>
    </row>
    <row r="281" spans="2:2" x14ac:dyDescent="0.15">
      <c r="B281">
        <f>Database!A282</f>
        <v>0</v>
      </c>
    </row>
    <row r="282" spans="2:2" x14ac:dyDescent="0.15">
      <c r="B282">
        <f>Database!A283</f>
        <v>0</v>
      </c>
    </row>
    <row r="283" spans="2:2" x14ac:dyDescent="0.15">
      <c r="B283">
        <f>Database!A284</f>
        <v>0</v>
      </c>
    </row>
    <row r="284" spans="2:2" x14ac:dyDescent="0.15">
      <c r="B284">
        <f>Database!A285</f>
        <v>0</v>
      </c>
    </row>
    <row r="285" spans="2:2" x14ac:dyDescent="0.15">
      <c r="B285">
        <f>Database!A286</f>
        <v>0</v>
      </c>
    </row>
    <row r="286" spans="2:2" x14ac:dyDescent="0.15">
      <c r="B286">
        <f>Database!A287</f>
        <v>0</v>
      </c>
    </row>
    <row r="287" spans="2:2" x14ac:dyDescent="0.15">
      <c r="B287">
        <f>Database!A288</f>
        <v>0</v>
      </c>
    </row>
    <row r="288" spans="2:2" x14ac:dyDescent="0.15">
      <c r="B288">
        <f>Database!A289</f>
        <v>0</v>
      </c>
    </row>
    <row r="289" spans="2:2" x14ac:dyDescent="0.15">
      <c r="B289">
        <f>Database!A290</f>
        <v>0</v>
      </c>
    </row>
    <row r="290" spans="2:2" x14ac:dyDescent="0.15">
      <c r="B290">
        <f>Database!A291</f>
        <v>0</v>
      </c>
    </row>
    <row r="291" spans="2:2" x14ac:dyDescent="0.15">
      <c r="B291">
        <f>Database!A292</f>
        <v>0</v>
      </c>
    </row>
    <row r="292" spans="2:2" x14ac:dyDescent="0.15">
      <c r="B292">
        <f>Database!A293</f>
        <v>0</v>
      </c>
    </row>
    <row r="293" spans="2:2" x14ac:dyDescent="0.15">
      <c r="B293">
        <f>Database!A294</f>
        <v>0</v>
      </c>
    </row>
    <row r="294" spans="2:2" x14ac:dyDescent="0.15">
      <c r="B294">
        <f>Database!A295</f>
        <v>0</v>
      </c>
    </row>
    <row r="295" spans="2:2" x14ac:dyDescent="0.15">
      <c r="B295">
        <f>Database!A296</f>
        <v>0</v>
      </c>
    </row>
    <row r="296" spans="2:2" x14ac:dyDescent="0.15">
      <c r="B296">
        <f>Database!A297</f>
        <v>0</v>
      </c>
    </row>
    <row r="297" spans="2:2" x14ac:dyDescent="0.15">
      <c r="B297">
        <f>Database!A298</f>
        <v>0</v>
      </c>
    </row>
    <row r="298" spans="2:2" x14ac:dyDescent="0.15">
      <c r="B298">
        <f>Database!A299</f>
        <v>0</v>
      </c>
    </row>
    <row r="299" spans="2:2" x14ac:dyDescent="0.15">
      <c r="B299">
        <f>Database!A300</f>
        <v>0</v>
      </c>
    </row>
    <row r="300" spans="2:2" x14ac:dyDescent="0.15">
      <c r="B300">
        <f>Database!A301</f>
        <v>0</v>
      </c>
    </row>
    <row r="301" spans="2:2" x14ac:dyDescent="0.15">
      <c r="B301">
        <f>Database!A302</f>
        <v>0</v>
      </c>
    </row>
    <row r="302" spans="2:2" x14ac:dyDescent="0.15">
      <c r="B302">
        <f>Database!A303</f>
        <v>0</v>
      </c>
    </row>
    <row r="303" spans="2:2" x14ac:dyDescent="0.15">
      <c r="B303">
        <f>Database!A304</f>
        <v>0</v>
      </c>
    </row>
    <row r="304" spans="2:2" x14ac:dyDescent="0.15">
      <c r="B304">
        <f>Database!A305</f>
        <v>0</v>
      </c>
    </row>
    <row r="305" spans="2:2" x14ac:dyDescent="0.15">
      <c r="B305">
        <f>Database!A306</f>
        <v>0</v>
      </c>
    </row>
    <row r="306" spans="2:2" x14ac:dyDescent="0.15">
      <c r="B306">
        <f>Database!A307</f>
        <v>0</v>
      </c>
    </row>
    <row r="307" spans="2:2" x14ac:dyDescent="0.15">
      <c r="B307">
        <f>Database!A308</f>
        <v>0</v>
      </c>
    </row>
    <row r="308" spans="2:2" x14ac:dyDescent="0.15">
      <c r="B308">
        <f>Database!A309</f>
        <v>0</v>
      </c>
    </row>
    <row r="309" spans="2:2" x14ac:dyDescent="0.15">
      <c r="B309">
        <f>Database!A310</f>
        <v>0</v>
      </c>
    </row>
    <row r="310" spans="2:2" x14ac:dyDescent="0.15">
      <c r="B310">
        <f>Database!A311</f>
        <v>0</v>
      </c>
    </row>
    <row r="311" spans="2:2" x14ac:dyDescent="0.15">
      <c r="B311">
        <f>Database!A312</f>
        <v>0</v>
      </c>
    </row>
    <row r="312" spans="2:2" x14ac:dyDescent="0.15">
      <c r="B312">
        <f>Database!A313</f>
        <v>0</v>
      </c>
    </row>
    <row r="313" spans="2:2" x14ac:dyDescent="0.15">
      <c r="B313">
        <f>Database!A314</f>
        <v>0</v>
      </c>
    </row>
    <row r="314" spans="2:2" x14ac:dyDescent="0.15">
      <c r="B314">
        <f>Database!A315</f>
        <v>0</v>
      </c>
    </row>
    <row r="315" spans="2:2" x14ac:dyDescent="0.15">
      <c r="B315">
        <f>Database!A316</f>
        <v>0</v>
      </c>
    </row>
    <row r="316" spans="2:2" x14ac:dyDescent="0.15">
      <c r="B316">
        <f>Database!A317</f>
        <v>0</v>
      </c>
    </row>
    <row r="317" spans="2:2" x14ac:dyDescent="0.15">
      <c r="B317">
        <f>Database!A318</f>
        <v>0</v>
      </c>
    </row>
    <row r="318" spans="2:2" x14ac:dyDescent="0.15">
      <c r="B318">
        <f>Database!A319</f>
        <v>0</v>
      </c>
    </row>
    <row r="319" spans="2:2" x14ac:dyDescent="0.15">
      <c r="B319">
        <f>Database!A320</f>
        <v>0</v>
      </c>
    </row>
    <row r="320" spans="2:2" x14ac:dyDescent="0.15">
      <c r="B320">
        <f>Database!A321</f>
        <v>0</v>
      </c>
    </row>
    <row r="321" spans="2:2" x14ac:dyDescent="0.15">
      <c r="B321">
        <f>Database!A322</f>
        <v>0</v>
      </c>
    </row>
    <row r="322" spans="2:2" x14ac:dyDescent="0.15">
      <c r="B322">
        <f>Database!A323</f>
        <v>0</v>
      </c>
    </row>
    <row r="323" spans="2:2" x14ac:dyDescent="0.15">
      <c r="B323">
        <f>Database!A324</f>
        <v>0</v>
      </c>
    </row>
    <row r="324" spans="2:2" x14ac:dyDescent="0.15">
      <c r="B324">
        <f>Database!A325</f>
        <v>0</v>
      </c>
    </row>
    <row r="325" spans="2:2" x14ac:dyDescent="0.15">
      <c r="B325">
        <f>Database!A326</f>
        <v>0</v>
      </c>
    </row>
    <row r="326" spans="2:2" x14ac:dyDescent="0.15">
      <c r="B326">
        <f>Database!A327</f>
        <v>0</v>
      </c>
    </row>
    <row r="327" spans="2:2" x14ac:dyDescent="0.15">
      <c r="B327">
        <f>Database!A328</f>
        <v>0</v>
      </c>
    </row>
    <row r="328" spans="2:2" x14ac:dyDescent="0.15">
      <c r="B328">
        <f>Database!A329</f>
        <v>0</v>
      </c>
    </row>
    <row r="329" spans="2:2" x14ac:dyDescent="0.15">
      <c r="B329">
        <f>Database!A330</f>
        <v>0</v>
      </c>
    </row>
    <row r="330" spans="2:2" x14ac:dyDescent="0.15">
      <c r="B330">
        <f>Database!A331</f>
        <v>0</v>
      </c>
    </row>
    <row r="331" spans="2:2" x14ac:dyDescent="0.15">
      <c r="B331">
        <f>Database!A332</f>
        <v>0</v>
      </c>
    </row>
    <row r="332" spans="2:2" x14ac:dyDescent="0.15">
      <c r="B332">
        <f>Database!A333</f>
        <v>0</v>
      </c>
    </row>
    <row r="333" spans="2:2" x14ac:dyDescent="0.15">
      <c r="B333">
        <f>Database!A334</f>
        <v>0</v>
      </c>
    </row>
    <row r="334" spans="2:2" x14ac:dyDescent="0.15">
      <c r="B334">
        <f>Database!A335</f>
        <v>0</v>
      </c>
    </row>
    <row r="335" spans="2:2" x14ac:dyDescent="0.15">
      <c r="B335">
        <f>Database!A336</f>
        <v>0</v>
      </c>
    </row>
    <row r="336" spans="2:2" x14ac:dyDescent="0.15">
      <c r="B336">
        <f>Database!A337</f>
        <v>0</v>
      </c>
    </row>
    <row r="337" spans="2:2" x14ac:dyDescent="0.15">
      <c r="B337">
        <f>Database!A338</f>
        <v>0</v>
      </c>
    </row>
    <row r="338" spans="2:2" x14ac:dyDescent="0.15">
      <c r="B338">
        <f>Database!A339</f>
        <v>0</v>
      </c>
    </row>
    <row r="339" spans="2:2" x14ac:dyDescent="0.15">
      <c r="B339">
        <f>Database!A340</f>
        <v>0</v>
      </c>
    </row>
    <row r="340" spans="2:2" x14ac:dyDescent="0.15">
      <c r="B340">
        <f>Database!A341</f>
        <v>0</v>
      </c>
    </row>
    <row r="341" spans="2:2" x14ac:dyDescent="0.15">
      <c r="B341">
        <f>Database!A342</f>
        <v>0</v>
      </c>
    </row>
    <row r="342" spans="2:2" x14ac:dyDescent="0.15">
      <c r="B342">
        <f>Database!A343</f>
        <v>0</v>
      </c>
    </row>
    <row r="343" spans="2:2" x14ac:dyDescent="0.15">
      <c r="B343">
        <f>Database!A344</f>
        <v>0</v>
      </c>
    </row>
    <row r="344" spans="2:2" x14ac:dyDescent="0.15">
      <c r="B344">
        <f>Database!A345</f>
        <v>0</v>
      </c>
    </row>
    <row r="345" spans="2:2" x14ac:dyDescent="0.15">
      <c r="B345">
        <f>Database!A346</f>
        <v>0</v>
      </c>
    </row>
    <row r="346" spans="2:2" x14ac:dyDescent="0.15">
      <c r="B346">
        <f>Database!A347</f>
        <v>0</v>
      </c>
    </row>
    <row r="347" spans="2:2" x14ac:dyDescent="0.15">
      <c r="B347">
        <f>Database!A348</f>
        <v>0</v>
      </c>
    </row>
    <row r="348" spans="2:2" x14ac:dyDescent="0.15">
      <c r="B348">
        <f>Database!A349</f>
        <v>0</v>
      </c>
    </row>
    <row r="349" spans="2:2" x14ac:dyDescent="0.15">
      <c r="B349">
        <f>Database!A350</f>
        <v>0</v>
      </c>
    </row>
    <row r="350" spans="2:2" x14ac:dyDescent="0.15">
      <c r="B350">
        <f>Database!A351</f>
        <v>0</v>
      </c>
    </row>
    <row r="351" spans="2:2" x14ac:dyDescent="0.15">
      <c r="B351">
        <f>Database!A352</f>
        <v>0</v>
      </c>
    </row>
    <row r="352" spans="2:2" x14ac:dyDescent="0.15">
      <c r="B352">
        <f>Database!A353</f>
        <v>0</v>
      </c>
    </row>
    <row r="353" spans="2:2" x14ac:dyDescent="0.15">
      <c r="B353">
        <f>Database!A354</f>
        <v>0</v>
      </c>
    </row>
    <row r="354" spans="2:2" x14ac:dyDescent="0.15">
      <c r="B354">
        <f>Database!A355</f>
        <v>0</v>
      </c>
    </row>
    <row r="355" spans="2:2" x14ac:dyDescent="0.15">
      <c r="B355">
        <f>Database!A356</f>
        <v>0</v>
      </c>
    </row>
    <row r="356" spans="2:2" x14ac:dyDescent="0.15">
      <c r="B356">
        <f>Database!A357</f>
        <v>0</v>
      </c>
    </row>
    <row r="357" spans="2:2" x14ac:dyDescent="0.15">
      <c r="B357">
        <f>Database!A358</f>
        <v>0</v>
      </c>
    </row>
    <row r="358" spans="2:2" x14ac:dyDescent="0.15">
      <c r="B358">
        <f>Database!A359</f>
        <v>0</v>
      </c>
    </row>
    <row r="359" spans="2:2" x14ac:dyDescent="0.15">
      <c r="B359">
        <f>Database!A360</f>
        <v>0</v>
      </c>
    </row>
    <row r="360" spans="2:2" x14ac:dyDescent="0.15">
      <c r="B360">
        <f>Database!A361</f>
        <v>0</v>
      </c>
    </row>
    <row r="361" spans="2:2" x14ac:dyDescent="0.15">
      <c r="B361">
        <f>Database!A362</f>
        <v>0</v>
      </c>
    </row>
    <row r="362" spans="2:2" x14ac:dyDescent="0.15">
      <c r="B362">
        <f>Database!A363</f>
        <v>0</v>
      </c>
    </row>
    <row r="363" spans="2:2" x14ac:dyDescent="0.15">
      <c r="B363">
        <f>Database!A364</f>
        <v>0</v>
      </c>
    </row>
    <row r="364" spans="2:2" x14ac:dyDescent="0.15">
      <c r="B364">
        <f>Database!A365</f>
        <v>0</v>
      </c>
    </row>
    <row r="365" spans="2:2" x14ac:dyDescent="0.15">
      <c r="B365">
        <f>Database!A366</f>
        <v>0</v>
      </c>
    </row>
    <row r="366" spans="2:2" x14ac:dyDescent="0.15">
      <c r="B366">
        <f>Database!A367</f>
        <v>0</v>
      </c>
    </row>
    <row r="367" spans="2:2" x14ac:dyDescent="0.15">
      <c r="B367">
        <f>Database!A368</f>
        <v>0</v>
      </c>
    </row>
    <row r="368" spans="2:2" x14ac:dyDescent="0.15">
      <c r="B368">
        <f>Database!A369</f>
        <v>0</v>
      </c>
    </row>
    <row r="369" spans="2:2" x14ac:dyDescent="0.15">
      <c r="B369">
        <f>Database!A370</f>
        <v>0</v>
      </c>
    </row>
    <row r="370" spans="2:2" x14ac:dyDescent="0.15">
      <c r="B370">
        <f>Database!A371</f>
        <v>0</v>
      </c>
    </row>
    <row r="371" spans="2:2" x14ac:dyDescent="0.15">
      <c r="B371">
        <f>Database!A372</f>
        <v>0</v>
      </c>
    </row>
    <row r="372" spans="2:2" x14ac:dyDescent="0.15">
      <c r="B372">
        <f>Database!A373</f>
        <v>0</v>
      </c>
    </row>
    <row r="373" spans="2:2" x14ac:dyDescent="0.15">
      <c r="B373">
        <f>Database!A374</f>
        <v>0</v>
      </c>
    </row>
    <row r="374" spans="2:2" x14ac:dyDescent="0.15">
      <c r="B374">
        <f>Database!A375</f>
        <v>0</v>
      </c>
    </row>
    <row r="375" spans="2:2" x14ac:dyDescent="0.15">
      <c r="B375">
        <f>Database!A376</f>
        <v>0</v>
      </c>
    </row>
    <row r="376" spans="2:2" x14ac:dyDescent="0.15">
      <c r="B376">
        <f>Database!A377</f>
        <v>0</v>
      </c>
    </row>
    <row r="377" spans="2:2" x14ac:dyDescent="0.15">
      <c r="B377">
        <f>Database!A378</f>
        <v>0</v>
      </c>
    </row>
    <row r="378" spans="2:2" x14ac:dyDescent="0.15">
      <c r="B378">
        <f>Database!A379</f>
        <v>0</v>
      </c>
    </row>
    <row r="379" spans="2:2" x14ac:dyDescent="0.15">
      <c r="B379">
        <f>Database!A380</f>
        <v>0</v>
      </c>
    </row>
    <row r="380" spans="2:2" x14ac:dyDescent="0.15">
      <c r="B380">
        <f>Database!A381</f>
        <v>0</v>
      </c>
    </row>
    <row r="381" spans="2:2" x14ac:dyDescent="0.15">
      <c r="B381">
        <f>Database!A382</f>
        <v>0</v>
      </c>
    </row>
    <row r="382" spans="2:2" x14ac:dyDescent="0.15">
      <c r="B382">
        <f>Database!A383</f>
        <v>0</v>
      </c>
    </row>
    <row r="383" spans="2:2" x14ac:dyDescent="0.15">
      <c r="B383">
        <f>Database!A384</f>
        <v>0</v>
      </c>
    </row>
    <row r="384" spans="2:2" x14ac:dyDescent="0.15">
      <c r="B384">
        <f>Database!A385</f>
        <v>0</v>
      </c>
    </row>
    <row r="385" spans="2:2" x14ac:dyDescent="0.15">
      <c r="B385">
        <f>Database!A386</f>
        <v>0</v>
      </c>
    </row>
    <row r="386" spans="2:2" x14ac:dyDescent="0.15">
      <c r="B386">
        <f>Database!A387</f>
        <v>0</v>
      </c>
    </row>
    <row r="387" spans="2:2" x14ac:dyDescent="0.15">
      <c r="B387">
        <f>Database!A388</f>
        <v>0</v>
      </c>
    </row>
    <row r="388" spans="2:2" x14ac:dyDescent="0.15">
      <c r="B388">
        <f>Database!A389</f>
        <v>0</v>
      </c>
    </row>
    <row r="389" spans="2:2" x14ac:dyDescent="0.15">
      <c r="B389">
        <f>Database!A390</f>
        <v>0</v>
      </c>
    </row>
    <row r="390" spans="2:2" x14ac:dyDescent="0.15">
      <c r="B390">
        <f>Database!A391</f>
        <v>0</v>
      </c>
    </row>
    <row r="391" spans="2:2" x14ac:dyDescent="0.15">
      <c r="B391">
        <f>Database!A392</f>
        <v>0</v>
      </c>
    </row>
    <row r="392" spans="2:2" x14ac:dyDescent="0.15">
      <c r="B392">
        <f>Database!A393</f>
        <v>0</v>
      </c>
    </row>
    <row r="393" spans="2:2" x14ac:dyDescent="0.15">
      <c r="B393">
        <f>Database!A394</f>
        <v>0</v>
      </c>
    </row>
    <row r="394" spans="2:2" x14ac:dyDescent="0.15">
      <c r="B394">
        <f>Database!A395</f>
        <v>0</v>
      </c>
    </row>
    <row r="395" spans="2:2" x14ac:dyDescent="0.15">
      <c r="B395">
        <f>Database!A396</f>
        <v>0</v>
      </c>
    </row>
    <row r="396" spans="2:2" x14ac:dyDescent="0.15">
      <c r="B396">
        <f>Database!A397</f>
        <v>0</v>
      </c>
    </row>
    <row r="397" spans="2:2" x14ac:dyDescent="0.15">
      <c r="B397">
        <f>Database!A398</f>
        <v>0</v>
      </c>
    </row>
    <row r="398" spans="2:2" x14ac:dyDescent="0.15">
      <c r="B398">
        <f>Database!A399</f>
        <v>0</v>
      </c>
    </row>
    <row r="399" spans="2:2" x14ac:dyDescent="0.15">
      <c r="B399">
        <f>Database!A400</f>
        <v>0</v>
      </c>
    </row>
    <row r="400" spans="2:2" x14ac:dyDescent="0.15">
      <c r="B400">
        <f>Database!A401</f>
        <v>0</v>
      </c>
    </row>
    <row r="401" spans="2:2" x14ac:dyDescent="0.15">
      <c r="B401">
        <f>Database!A402</f>
        <v>0</v>
      </c>
    </row>
    <row r="402" spans="2:2" x14ac:dyDescent="0.15">
      <c r="B402">
        <f>Database!A403</f>
        <v>0</v>
      </c>
    </row>
    <row r="403" spans="2:2" x14ac:dyDescent="0.15">
      <c r="B403">
        <f>Database!A404</f>
        <v>0</v>
      </c>
    </row>
    <row r="404" spans="2:2" x14ac:dyDescent="0.15">
      <c r="B404">
        <f>Database!A405</f>
        <v>0</v>
      </c>
    </row>
    <row r="405" spans="2:2" x14ac:dyDescent="0.15">
      <c r="B405">
        <f>Database!A406</f>
        <v>0</v>
      </c>
    </row>
    <row r="406" spans="2:2" x14ac:dyDescent="0.15">
      <c r="B406">
        <f>Database!A407</f>
        <v>0</v>
      </c>
    </row>
    <row r="407" spans="2:2" x14ac:dyDescent="0.15">
      <c r="B407">
        <f>Database!A408</f>
        <v>0</v>
      </c>
    </row>
    <row r="408" spans="2:2" x14ac:dyDescent="0.15">
      <c r="B408">
        <f>Database!A409</f>
        <v>0</v>
      </c>
    </row>
    <row r="409" spans="2:2" x14ac:dyDescent="0.15">
      <c r="B409">
        <f>Database!A410</f>
        <v>0</v>
      </c>
    </row>
    <row r="410" spans="2:2" x14ac:dyDescent="0.15">
      <c r="B410">
        <f>Database!A411</f>
        <v>0</v>
      </c>
    </row>
    <row r="411" spans="2:2" x14ac:dyDescent="0.15">
      <c r="B411">
        <f>Database!A412</f>
        <v>0</v>
      </c>
    </row>
    <row r="412" spans="2:2" x14ac:dyDescent="0.15">
      <c r="B412">
        <f>Database!A413</f>
        <v>0</v>
      </c>
    </row>
    <row r="413" spans="2:2" x14ac:dyDescent="0.15">
      <c r="B413">
        <f>Database!A414</f>
        <v>0</v>
      </c>
    </row>
    <row r="414" spans="2:2" x14ac:dyDescent="0.15">
      <c r="B414">
        <f>Database!A415</f>
        <v>0</v>
      </c>
    </row>
    <row r="415" spans="2:2" x14ac:dyDescent="0.15">
      <c r="B415">
        <f>Database!A416</f>
        <v>0</v>
      </c>
    </row>
    <row r="416" spans="2:2" x14ac:dyDescent="0.15">
      <c r="B416">
        <f>Database!A417</f>
        <v>0</v>
      </c>
    </row>
    <row r="417" spans="2:2" x14ac:dyDescent="0.15">
      <c r="B417">
        <f>Database!A418</f>
        <v>0</v>
      </c>
    </row>
    <row r="418" spans="2:2" x14ac:dyDescent="0.15">
      <c r="B418">
        <f>Database!A419</f>
        <v>0</v>
      </c>
    </row>
    <row r="419" spans="2:2" x14ac:dyDescent="0.15">
      <c r="B419">
        <f>Database!A420</f>
        <v>0</v>
      </c>
    </row>
    <row r="420" spans="2:2" x14ac:dyDescent="0.15">
      <c r="B420">
        <f>Database!A421</f>
        <v>0</v>
      </c>
    </row>
    <row r="421" spans="2:2" x14ac:dyDescent="0.15">
      <c r="B421">
        <f>Database!A422</f>
        <v>0</v>
      </c>
    </row>
    <row r="422" spans="2:2" x14ac:dyDescent="0.15">
      <c r="B422">
        <f>Database!A423</f>
        <v>0</v>
      </c>
    </row>
    <row r="423" spans="2:2" x14ac:dyDescent="0.15">
      <c r="B423">
        <f>Database!A424</f>
        <v>0</v>
      </c>
    </row>
    <row r="424" spans="2:2" x14ac:dyDescent="0.15">
      <c r="B424">
        <f>Database!A425</f>
        <v>0</v>
      </c>
    </row>
    <row r="425" spans="2:2" x14ac:dyDescent="0.15">
      <c r="B425">
        <f>Database!A426</f>
        <v>0</v>
      </c>
    </row>
    <row r="426" spans="2:2" x14ac:dyDescent="0.15">
      <c r="B426">
        <f>Database!A427</f>
        <v>0</v>
      </c>
    </row>
    <row r="427" spans="2:2" x14ac:dyDescent="0.15">
      <c r="B427">
        <f>Database!A428</f>
        <v>0</v>
      </c>
    </row>
    <row r="428" spans="2:2" x14ac:dyDescent="0.15">
      <c r="B428">
        <f>Database!A429</f>
        <v>0</v>
      </c>
    </row>
    <row r="429" spans="2:2" x14ac:dyDescent="0.15">
      <c r="B429">
        <f>Database!A430</f>
        <v>0</v>
      </c>
    </row>
    <row r="430" spans="2:2" x14ac:dyDescent="0.15">
      <c r="B430">
        <f>Database!A431</f>
        <v>0</v>
      </c>
    </row>
    <row r="431" spans="2:2" x14ac:dyDescent="0.15">
      <c r="B431">
        <f>Database!A432</f>
        <v>0</v>
      </c>
    </row>
    <row r="432" spans="2:2" x14ac:dyDescent="0.15">
      <c r="B432">
        <f>Database!A433</f>
        <v>0</v>
      </c>
    </row>
    <row r="433" spans="2:2" x14ac:dyDescent="0.15">
      <c r="B433">
        <f>Database!A434</f>
        <v>0</v>
      </c>
    </row>
    <row r="434" spans="2:2" x14ac:dyDescent="0.15">
      <c r="B434">
        <f>Database!A435</f>
        <v>0</v>
      </c>
    </row>
    <row r="435" spans="2:2" x14ac:dyDescent="0.15">
      <c r="B435">
        <f>Database!A436</f>
        <v>0</v>
      </c>
    </row>
    <row r="436" spans="2:2" x14ac:dyDescent="0.15">
      <c r="B436">
        <f>Database!A437</f>
        <v>0</v>
      </c>
    </row>
    <row r="437" spans="2:2" x14ac:dyDescent="0.15">
      <c r="B437">
        <f>Database!A438</f>
        <v>0</v>
      </c>
    </row>
    <row r="438" spans="2:2" x14ac:dyDescent="0.15">
      <c r="B438">
        <f>Database!A439</f>
        <v>0</v>
      </c>
    </row>
    <row r="439" spans="2:2" x14ac:dyDescent="0.15">
      <c r="B439">
        <f>Database!A440</f>
        <v>0</v>
      </c>
    </row>
    <row r="440" spans="2:2" x14ac:dyDescent="0.15">
      <c r="B440">
        <f>Database!A441</f>
        <v>0</v>
      </c>
    </row>
    <row r="441" spans="2:2" x14ac:dyDescent="0.15">
      <c r="B441">
        <f>Database!A442</f>
        <v>0</v>
      </c>
    </row>
    <row r="442" spans="2:2" x14ac:dyDescent="0.15">
      <c r="B442">
        <f>Database!A443</f>
        <v>0</v>
      </c>
    </row>
    <row r="443" spans="2:2" x14ac:dyDescent="0.15">
      <c r="B443">
        <f>Database!A444</f>
        <v>0</v>
      </c>
    </row>
    <row r="444" spans="2:2" x14ac:dyDescent="0.15">
      <c r="B444">
        <f>Database!A445</f>
        <v>0</v>
      </c>
    </row>
    <row r="445" spans="2:2" x14ac:dyDescent="0.15">
      <c r="B445">
        <f>Database!A446</f>
        <v>0</v>
      </c>
    </row>
    <row r="446" spans="2:2" x14ac:dyDescent="0.15">
      <c r="B446">
        <f>Database!A447</f>
        <v>0</v>
      </c>
    </row>
    <row r="447" spans="2:2" x14ac:dyDescent="0.15">
      <c r="B447">
        <f>Database!A448</f>
        <v>0</v>
      </c>
    </row>
    <row r="448" spans="2:2" x14ac:dyDescent="0.15">
      <c r="B448">
        <f>Database!A449</f>
        <v>0</v>
      </c>
    </row>
    <row r="449" spans="2:2" x14ac:dyDescent="0.15">
      <c r="B449">
        <f>Database!A450</f>
        <v>0</v>
      </c>
    </row>
    <row r="450" spans="2:2" x14ac:dyDescent="0.15">
      <c r="B450">
        <f>Database!A451</f>
        <v>0</v>
      </c>
    </row>
    <row r="451" spans="2:2" x14ac:dyDescent="0.15">
      <c r="B451">
        <f>Database!A452</f>
        <v>0</v>
      </c>
    </row>
    <row r="452" spans="2:2" x14ac:dyDescent="0.15">
      <c r="B452">
        <f>Database!A453</f>
        <v>0</v>
      </c>
    </row>
    <row r="453" spans="2:2" x14ac:dyDescent="0.15">
      <c r="B453">
        <f>Database!A454</f>
        <v>0</v>
      </c>
    </row>
    <row r="454" spans="2:2" x14ac:dyDescent="0.15">
      <c r="B454">
        <f>Database!A455</f>
        <v>0</v>
      </c>
    </row>
    <row r="455" spans="2:2" x14ac:dyDescent="0.15">
      <c r="B455">
        <f>Database!A456</f>
        <v>0</v>
      </c>
    </row>
    <row r="456" spans="2:2" x14ac:dyDescent="0.15">
      <c r="B456">
        <f>Database!A457</f>
        <v>0</v>
      </c>
    </row>
    <row r="457" spans="2:2" x14ac:dyDescent="0.15">
      <c r="B457">
        <f>Database!A458</f>
        <v>0</v>
      </c>
    </row>
    <row r="458" spans="2:2" x14ac:dyDescent="0.15">
      <c r="B458">
        <f>Database!A459</f>
        <v>0</v>
      </c>
    </row>
    <row r="459" spans="2:2" x14ac:dyDescent="0.15">
      <c r="B459">
        <f>Database!A460</f>
        <v>0</v>
      </c>
    </row>
    <row r="460" spans="2:2" x14ac:dyDescent="0.15">
      <c r="B460">
        <f>Database!A461</f>
        <v>0</v>
      </c>
    </row>
    <row r="461" spans="2:2" x14ac:dyDescent="0.15">
      <c r="B461">
        <f>Database!A462</f>
        <v>0</v>
      </c>
    </row>
    <row r="462" spans="2:2" x14ac:dyDescent="0.15">
      <c r="B462">
        <f>Database!A463</f>
        <v>0</v>
      </c>
    </row>
    <row r="463" spans="2:2" x14ac:dyDescent="0.15">
      <c r="B463">
        <f>Database!A464</f>
        <v>0</v>
      </c>
    </row>
    <row r="464" spans="2:2" x14ac:dyDescent="0.15">
      <c r="B464">
        <f>Database!A465</f>
        <v>0</v>
      </c>
    </row>
    <row r="465" spans="2:2" x14ac:dyDescent="0.15">
      <c r="B465">
        <f>Database!A466</f>
        <v>0</v>
      </c>
    </row>
    <row r="466" spans="2:2" x14ac:dyDescent="0.15">
      <c r="B466">
        <f>Database!A467</f>
        <v>0</v>
      </c>
    </row>
    <row r="467" spans="2:2" x14ac:dyDescent="0.15">
      <c r="B467">
        <f>Database!A468</f>
        <v>0</v>
      </c>
    </row>
    <row r="468" spans="2:2" x14ac:dyDescent="0.15">
      <c r="B468">
        <f>Database!A469</f>
        <v>0</v>
      </c>
    </row>
    <row r="469" spans="2:2" x14ac:dyDescent="0.15">
      <c r="B469">
        <f>Database!A470</f>
        <v>0</v>
      </c>
    </row>
    <row r="470" spans="2:2" x14ac:dyDescent="0.15">
      <c r="B470">
        <f>Database!A471</f>
        <v>0</v>
      </c>
    </row>
    <row r="471" spans="2:2" x14ac:dyDescent="0.15">
      <c r="B471">
        <f>Database!A472</f>
        <v>0</v>
      </c>
    </row>
    <row r="472" spans="2:2" x14ac:dyDescent="0.15">
      <c r="B472">
        <f>Database!A473</f>
        <v>0</v>
      </c>
    </row>
    <row r="473" spans="2:2" x14ac:dyDescent="0.15">
      <c r="B473">
        <f>Database!A474</f>
        <v>0</v>
      </c>
    </row>
    <row r="474" spans="2:2" x14ac:dyDescent="0.15">
      <c r="B474">
        <f>Database!A475</f>
        <v>0</v>
      </c>
    </row>
    <row r="475" spans="2:2" x14ac:dyDescent="0.15">
      <c r="B475">
        <f>Database!A476</f>
        <v>0</v>
      </c>
    </row>
    <row r="476" spans="2:2" x14ac:dyDescent="0.15">
      <c r="B476">
        <f>Database!A477</f>
        <v>0</v>
      </c>
    </row>
    <row r="477" spans="2:2" x14ac:dyDescent="0.15">
      <c r="B477">
        <f>Database!A478</f>
        <v>0</v>
      </c>
    </row>
    <row r="478" spans="2:2" x14ac:dyDescent="0.15">
      <c r="B478">
        <f>Database!A479</f>
        <v>0</v>
      </c>
    </row>
    <row r="479" spans="2:2" x14ac:dyDescent="0.15">
      <c r="B479">
        <f>Database!A480</f>
        <v>0</v>
      </c>
    </row>
    <row r="480" spans="2:2" x14ac:dyDescent="0.15">
      <c r="B480">
        <f>Database!A481</f>
        <v>0</v>
      </c>
    </row>
    <row r="481" spans="2:2" x14ac:dyDescent="0.15">
      <c r="B481">
        <f>Database!A482</f>
        <v>0</v>
      </c>
    </row>
    <row r="482" spans="2:2" x14ac:dyDescent="0.15">
      <c r="B482">
        <f>Database!A483</f>
        <v>0</v>
      </c>
    </row>
    <row r="483" spans="2:2" x14ac:dyDescent="0.15">
      <c r="B483">
        <f>Database!A484</f>
        <v>0</v>
      </c>
    </row>
    <row r="484" spans="2:2" x14ac:dyDescent="0.15">
      <c r="B484">
        <f>Database!A485</f>
        <v>0</v>
      </c>
    </row>
    <row r="485" spans="2:2" x14ac:dyDescent="0.15">
      <c r="B485">
        <f>Database!A486</f>
        <v>0</v>
      </c>
    </row>
    <row r="486" spans="2:2" x14ac:dyDescent="0.15">
      <c r="B486">
        <f>Database!A487</f>
        <v>0</v>
      </c>
    </row>
    <row r="487" spans="2:2" x14ac:dyDescent="0.15">
      <c r="B487">
        <f>Database!A488</f>
        <v>0</v>
      </c>
    </row>
    <row r="488" spans="2:2" x14ac:dyDescent="0.15">
      <c r="B488">
        <f>Database!A489</f>
        <v>0</v>
      </c>
    </row>
    <row r="489" spans="2:2" x14ac:dyDescent="0.15">
      <c r="B489">
        <f>Database!A490</f>
        <v>0</v>
      </c>
    </row>
    <row r="490" spans="2:2" x14ac:dyDescent="0.15">
      <c r="B490">
        <f>Database!A491</f>
        <v>0</v>
      </c>
    </row>
    <row r="491" spans="2:2" x14ac:dyDescent="0.15">
      <c r="B491">
        <f>Database!A492</f>
        <v>0</v>
      </c>
    </row>
    <row r="492" spans="2:2" x14ac:dyDescent="0.15">
      <c r="B492">
        <f>Database!A493</f>
        <v>0</v>
      </c>
    </row>
    <row r="493" spans="2:2" x14ac:dyDescent="0.15">
      <c r="B493">
        <f>Database!A494</f>
        <v>0</v>
      </c>
    </row>
    <row r="494" spans="2:2" x14ac:dyDescent="0.15">
      <c r="B494">
        <f>Database!A495</f>
        <v>0</v>
      </c>
    </row>
    <row r="495" spans="2:2" x14ac:dyDescent="0.15">
      <c r="B495">
        <f>Database!A496</f>
        <v>0</v>
      </c>
    </row>
    <row r="496" spans="2:2" x14ac:dyDescent="0.15">
      <c r="B496">
        <f>Database!A497</f>
        <v>0</v>
      </c>
    </row>
    <row r="497" spans="2:2" x14ac:dyDescent="0.15">
      <c r="B497">
        <f>Database!A498</f>
        <v>0</v>
      </c>
    </row>
    <row r="498" spans="2:2" x14ac:dyDescent="0.15">
      <c r="B498">
        <f>Database!A499</f>
        <v>0</v>
      </c>
    </row>
    <row r="499" spans="2:2" x14ac:dyDescent="0.15">
      <c r="B499">
        <f>Database!A500</f>
        <v>0</v>
      </c>
    </row>
    <row r="500" spans="2:2" x14ac:dyDescent="0.15">
      <c r="B500">
        <f>Database!A501</f>
        <v>0</v>
      </c>
    </row>
    <row r="501" spans="2:2" x14ac:dyDescent="0.15">
      <c r="B501">
        <f>Database!A502</f>
        <v>0</v>
      </c>
    </row>
    <row r="502" spans="2:2" x14ac:dyDescent="0.15">
      <c r="B502">
        <f>Database!A503</f>
        <v>0</v>
      </c>
    </row>
    <row r="503" spans="2:2" x14ac:dyDescent="0.15">
      <c r="B503">
        <f>Database!A504</f>
        <v>0</v>
      </c>
    </row>
    <row r="504" spans="2:2" x14ac:dyDescent="0.15">
      <c r="B504">
        <f>Database!A505</f>
        <v>0</v>
      </c>
    </row>
    <row r="505" spans="2:2" x14ac:dyDescent="0.15">
      <c r="B505">
        <f>Database!A506</f>
        <v>0</v>
      </c>
    </row>
    <row r="506" spans="2:2" x14ac:dyDescent="0.15">
      <c r="B506">
        <f>Database!A507</f>
        <v>0</v>
      </c>
    </row>
    <row r="507" spans="2:2" x14ac:dyDescent="0.15">
      <c r="B507">
        <f>Database!A508</f>
        <v>0</v>
      </c>
    </row>
    <row r="508" spans="2:2" x14ac:dyDescent="0.15">
      <c r="B508">
        <f>Database!A509</f>
        <v>0</v>
      </c>
    </row>
    <row r="509" spans="2:2" x14ac:dyDescent="0.15">
      <c r="B509">
        <f>Database!A510</f>
        <v>0</v>
      </c>
    </row>
    <row r="510" spans="2:2" x14ac:dyDescent="0.15">
      <c r="B510">
        <f>Database!A511</f>
        <v>0</v>
      </c>
    </row>
    <row r="511" spans="2:2" x14ac:dyDescent="0.15">
      <c r="B511">
        <f>Database!A512</f>
        <v>0</v>
      </c>
    </row>
    <row r="512" spans="2:2" x14ac:dyDescent="0.15">
      <c r="B512">
        <f>Database!A513</f>
        <v>0</v>
      </c>
    </row>
    <row r="513" spans="2:2" x14ac:dyDescent="0.15">
      <c r="B513">
        <f>Database!A514</f>
        <v>0</v>
      </c>
    </row>
    <row r="514" spans="2:2" x14ac:dyDescent="0.15">
      <c r="B514">
        <f>Database!A515</f>
        <v>0</v>
      </c>
    </row>
    <row r="515" spans="2:2" x14ac:dyDescent="0.15">
      <c r="B515">
        <f>Database!A516</f>
        <v>0</v>
      </c>
    </row>
    <row r="516" spans="2:2" x14ac:dyDescent="0.15">
      <c r="B516">
        <f>Database!A517</f>
        <v>0</v>
      </c>
    </row>
    <row r="517" spans="2:2" x14ac:dyDescent="0.15">
      <c r="B517">
        <f>Database!A518</f>
        <v>0</v>
      </c>
    </row>
    <row r="518" spans="2:2" x14ac:dyDescent="0.15">
      <c r="B518">
        <f>Database!A519</f>
        <v>0</v>
      </c>
    </row>
    <row r="519" spans="2:2" x14ac:dyDescent="0.15">
      <c r="B519">
        <f>Database!A520</f>
        <v>0</v>
      </c>
    </row>
    <row r="520" spans="2:2" x14ac:dyDescent="0.15">
      <c r="B520">
        <f>Database!A521</f>
        <v>0</v>
      </c>
    </row>
    <row r="521" spans="2:2" x14ac:dyDescent="0.15">
      <c r="B521">
        <f>Database!A522</f>
        <v>0</v>
      </c>
    </row>
    <row r="522" spans="2:2" x14ac:dyDescent="0.15">
      <c r="B522">
        <f>Database!A523</f>
        <v>0</v>
      </c>
    </row>
    <row r="523" spans="2:2" x14ac:dyDescent="0.15">
      <c r="B523">
        <f>Database!A524</f>
        <v>0</v>
      </c>
    </row>
    <row r="524" spans="2:2" x14ac:dyDescent="0.15">
      <c r="B524">
        <f>Database!A525</f>
        <v>0</v>
      </c>
    </row>
    <row r="525" spans="2:2" x14ac:dyDescent="0.15">
      <c r="B525">
        <f>Database!A526</f>
        <v>0</v>
      </c>
    </row>
    <row r="526" spans="2:2" x14ac:dyDescent="0.15">
      <c r="B526">
        <f>Database!A527</f>
        <v>0</v>
      </c>
    </row>
    <row r="527" spans="2:2" x14ac:dyDescent="0.15">
      <c r="B527">
        <f>Database!A528</f>
        <v>0</v>
      </c>
    </row>
    <row r="528" spans="2:2" x14ac:dyDescent="0.15">
      <c r="B528">
        <f>Database!A529</f>
        <v>0</v>
      </c>
    </row>
    <row r="529" spans="2:2" x14ac:dyDescent="0.15">
      <c r="B529">
        <f>Database!A530</f>
        <v>0</v>
      </c>
    </row>
    <row r="530" spans="2:2" x14ac:dyDescent="0.15">
      <c r="B530">
        <f>Database!A531</f>
        <v>0</v>
      </c>
    </row>
    <row r="531" spans="2:2" x14ac:dyDescent="0.15">
      <c r="B531">
        <f>Database!A532</f>
        <v>0</v>
      </c>
    </row>
    <row r="532" spans="2:2" x14ac:dyDescent="0.15">
      <c r="B532">
        <f>Database!A533</f>
        <v>0</v>
      </c>
    </row>
    <row r="533" spans="2:2" x14ac:dyDescent="0.15">
      <c r="B533">
        <f>Database!A534</f>
        <v>0</v>
      </c>
    </row>
    <row r="534" spans="2:2" x14ac:dyDescent="0.15">
      <c r="B534">
        <f>Database!A535</f>
        <v>0</v>
      </c>
    </row>
    <row r="535" spans="2:2" x14ac:dyDescent="0.15">
      <c r="B535">
        <f>Database!A536</f>
        <v>0</v>
      </c>
    </row>
    <row r="536" spans="2:2" x14ac:dyDescent="0.15">
      <c r="B536">
        <f>Database!A537</f>
        <v>0</v>
      </c>
    </row>
    <row r="537" spans="2:2" x14ac:dyDescent="0.15">
      <c r="B537">
        <f>Database!A538</f>
        <v>0</v>
      </c>
    </row>
    <row r="538" spans="2:2" x14ac:dyDescent="0.15">
      <c r="B538">
        <f>Database!A539</f>
        <v>0</v>
      </c>
    </row>
    <row r="539" spans="2:2" x14ac:dyDescent="0.15">
      <c r="B539">
        <f>Database!A540</f>
        <v>0</v>
      </c>
    </row>
    <row r="540" spans="2:2" x14ac:dyDescent="0.15">
      <c r="B540">
        <f>Database!A541</f>
        <v>0</v>
      </c>
    </row>
    <row r="541" spans="2:2" x14ac:dyDescent="0.15">
      <c r="B541">
        <f>Database!A542</f>
        <v>0</v>
      </c>
    </row>
    <row r="542" spans="2:2" x14ac:dyDescent="0.15">
      <c r="B542">
        <f>Database!A543</f>
        <v>0</v>
      </c>
    </row>
    <row r="543" spans="2:2" x14ac:dyDescent="0.15">
      <c r="B543">
        <f>Database!A544</f>
        <v>0</v>
      </c>
    </row>
    <row r="544" spans="2:2" x14ac:dyDescent="0.15">
      <c r="B544">
        <f>Database!A545</f>
        <v>0</v>
      </c>
    </row>
    <row r="545" spans="2:2" x14ac:dyDescent="0.15">
      <c r="B545">
        <f>Database!A546</f>
        <v>0</v>
      </c>
    </row>
    <row r="546" spans="2:2" x14ac:dyDescent="0.15">
      <c r="B546">
        <f>Database!A547</f>
        <v>0</v>
      </c>
    </row>
    <row r="547" spans="2:2" x14ac:dyDescent="0.15">
      <c r="B547">
        <f>Database!A548</f>
        <v>0</v>
      </c>
    </row>
    <row r="548" spans="2:2" x14ac:dyDescent="0.15">
      <c r="B548">
        <f>Database!A549</f>
        <v>0</v>
      </c>
    </row>
    <row r="549" spans="2:2" x14ac:dyDescent="0.15">
      <c r="B549">
        <f>Database!A550</f>
        <v>0</v>
      </c>
    </row>
    <row r="550" spans="2:2" x14ac:dyDescent="0.15">
      <c r="B550">
        <f>Database!A551</f>
        <v>0</v>
      </c>
    </row>
    <row r="551" spans="2:2" x14ac:dyDescent="0.15">
      <c r="B551">
        <f>Database!A552</f>
        <v>0</v>
      </c>
    </row>
    <row r="552" spans="2:2" x14ac:dyDescent="0.15">
      <c r="B552">
        <f>Database!A553</f>
        <v>0</v>
      </c>
    </row>
    <row r="553" spans="2:2" x14ac:dyDescent="0.15">
      <c r="B553">
        <f>Database!A554</f>
        <v>0</v>
      </c>
    </row>
    <row r="554" spans="2:2" x14ac:dyDescent="0.15">
      <c r="B554">
        <f>Database!A555</f>
        <v>0</v>
      </c>
    </row>
    <row r="555" spans="2:2" x14ac:dyDescent="0.15">
      <c r="B555">
        <f>Database!A556</f>
        <v>0</v>
      </c>
    </row>
    <row r="556" spans="2:2" x14ac:dyDescent="0.15">
      <c r="B556">
        <f>Database!A557</f>
        <v>0</v>
      </c>
    </row>
    <row r="557" spans="2:2" x14ac:dyDescent="0.15">
      <c r="B557">
        <f>Database!A558</f>
        <v>0</v>
      </c>
    </row>
    <row r="558" spans="2:2" x14ac:dyDescent="0.15">
      <c r="B558">
        <f>Database!A559</f>
        <v>0</v>
      </c>
    </row>
    <row r="559" spans="2:2" x14ac:dyDescent="0.15">
      <c r="B559">
        <f>Database!A560</f>
        <v>0</v>
      </c>
    </row>
    <row r="560" spans="2:2" x14ac:dyDescent="0.15">
      <c r="B560">
        <f>Database!A561</f>
        <v>0</v>
      </c>
    </row>
    <row r="561" spans="2:2" x14ac:dyDescent="0.15">
      <c r="B561">
        <f>Database!A562</f>
        <v>0</v>
      </c>
    </row>
    <row r="562" spans="2:2" x14ac:dyDescent="0.15">
      <c r="B562">
        <f>Database!A563</f>
        <v>0</v>
      </c>
    </row>
    <row r="563" spans="2:2" x14ac:dyDescent="0.15">
      <c r="B563">
        <f>Database!A564</f>
        <v>0</v>
      </c>
    </row>
    <row r="564" spans="2:2" x14ac:dyDescent="0.15">
      <c r="B564">
        <f>Database!A565</f>
        <v>0</v>
      </c>
    </row>
    <row r="565" spans="2:2" x14ac:dyDescent="0.15">
      <c r="B565">
        <f>Database!A566</f>
        <v>0</v>
      </c>
    </row>
    <row r="566" spans="2:2" x14ac:dyDescent="0.15">
      <c r="B566">
        <f>Database!A567</f>
        <v>0</v>
      </c>
    </row>
    <row r="567" spans="2:2" x14ac:dyDescent="0.15">
      <c r="B567">
        <f>Database!A568</f>
        <v>0</v>
      </c>
    </row>
    <row r="568" spans="2:2" x14ac:dyDescent="0.15">
      <c r="B568">
        <f>Database!A569</f>
        <v>0</v>
      </c>
    </row>
    <row r="569" spans="2:2" x14ac:dyDescent="0.15">
      <c r="B569">
        <f>Database!A570</f>
        <v>0</v>
      </c>
    </row>
    <row r="570" spans="2:2" x14ac:dyDescent="0.15">
      <c r="B570">
        <f>Database!A571</f>
        <v>0</v>
      </c>
    </row>
    <row r="571" spans="2:2" x14ac:dyDescent="0.15">
      <c r="B571">
        <f>Database!A572</f>
        <v>0</v>
      </c>
    </row>
    <row r="572" spans="2:2" x14ac:dyDescent="0.15">
      <c r="B572">
        <f>Database!A573</f>
        <v>0</v>
      </c>
    </row>
    <row r="573" spans="2:2" x14ac:dyDescent="0.15">
      <c r="B573">
        <f>Database!A574</f>
        <v>0</v>
      </c>
    </row>
    <row r="574" spans="2:2" x14ac:dyDescent="0.15">
      <c r="B574">
        <f>Database!A575</f>
        <v>0</v>
      </c>
    </row>
    <row r="575" spans="2:2" x14ac:dyDescent="0.15">
      <c r="B575">
        <f>Database!A576</f>
        <v>0</v>
      </c>
    </row>
    <row r="576" spans="2:2" x14ac:dyDescent="0.15">
      <c r="B576">
        <f>Database!A577</f>
        <v>0</v>
      </c>
    </row>
    <row r="577" spans="2:2" x14ac:dyDescent="0.15">
      <c r="B577">
        <f>Database!A578</f>
        <v>0</v>
      </c>
    </row>
    <row r="578" spans="2:2" x14ac:dyDescent="0.15">
      <c r="B578">
        <f>Database!A579</f>
        <v>0</v>
      </c>
    </row>
    <row r="579" spans="2:2" x14ac:dyDescent="0.15">
      <c r="B579">
        <f>Database!A580</f>
        <v>0</v>
      </c>
    </row>
    <row r="580" spans="2:2" x14ac:dyDescent="0.15">
      <c r="B580">
        <f>Database!A581</f>
        <v>0</v>
      </c>
    </row>
    <row r="581" spans="2:2" x14ac:dyDescent="0.15">
      <c r="B581">
        <f>Database!A582</f>
        <v>0</v>
      </c>
    </row>
    <row r="582" spans="2:2" x14ac:dyDescent="0.15">
      <c r="B582">
        <f>Database!A583</f>
        <v>0</v>
      </c>
    </row>
    <row r="583" spans="2:2" x14ac:dyDescent="0.15">
      <c r="B583">
        <f>Database!A584</f>
        <v>0</v>
      </c>
    </row>
    <row r="584" spans="2:2" x14ac:dyDescent="0.15">
      <c r="B584">
        <f>Database!A585</f>
        <v>0</v>
      </c>
    </row>
    <row r="585" spans="2:2" x14ac:dyDescent="0.15">
      <c r="B585">
        <f>Database!A586</f>
        <v>0</v>
      </c>
    </row>
    <row r="586" spans="2:2" x14ac:dyDescent="0.15">
      <c r="B586">
        <f>Database!A587</f>
        <v>0</v>
      </c>
    </row>
    <row r="587" spans="2:2" x14ac:dyDescent="0.15">
      <c r="B587">
        <f>Database!A588</f>
        <v>0</v>
      </c>
    </row>
    <row r="588" spans="2:2" x14ac:dyDescent="0.15">
      <c r="B588">
        <f>Database!A589</f>
        <v>0</v>
      </c>
    </row>
    <row r="589" spans="2:2" x14ac:dyDescent="0.15">
      <c r="B589">
        <f>Database!A590</f>
        <v>0</v>
      </c>
    </row>
    <row r="590" spans="2:2" x14ac:dyDescent="0.15">
      <c r="B590">
        <f>Database!A591</f>
        <v>0</v>
      </c>
    </row>
    <row r="591" spans="2:2" x14ac:dyDescent="0.15">
      <c r="B591">
        <f>Database!A592</f>
        <v>0</v>
      </c>
    </row>
    <row r="592" spans="2:2" x14ac:dyDescent="0.15">
      <c r="B592">
        <f>Database!A593</f>
        <v>0</v>
      </c>
    </row>
    <row r="593" spans="2:2" x14ac:dyDescent="0.15">
      <c r="B593">
        <f>Database!A594</f>
        <v>0</v>
      </c>
    </row>
    <row r="594" spans="2:2" x14ac:dyDescent="0.15">
      <c r="B594">
        <f>Database!A595</f>
        <v>0</v>
      </c>
    </row>
    <row r="595" spans="2:2" x14ac:dyDescent="0.15">
      <c r="B595">
        <f>Database!A596</f>
        <v>0</v>
      </c>
    </row>
    <row r="596" spans="2:2" x14ac:dyDescent="0.15">
      <c r="B596">
        <f>Database!A597</f>
        <v>0</v>
      </c>
    </row>
    <row r="597" spans="2:2" x14ac:dyDescent="0.15">
      <c r="B597">
        <f>Database!A598</f>
        <v>0</v>
      </c>
    </row>
    <row r="598" spans="2:2" x14ac:dyDescent="0.15">
      <c r="B598">
        <f>Database!A599</f>
        <v>0</v>
      </c>
    </row>
    <row r="599" spans="2:2" x14ac:dyDescent="0.15">
      <c r="B599">
        <f>Database!A600</f>
        <v>0</v>
      </c>
    </row>
    <row r="600" spans="2:2" x14ac:dyDescent="0.15">
      <c r="B600">
        <f>Database!A601</f>
        <v>0</v>
      </c>
    </row>
    <row r="601" spans="2:2" x14ac:dyDescent="0.15">
      <c r="B601">
        <f>Database!A602</f>
        <v>0</v>
      </c>
    </row>
  </sheetData>
  <mergeCells count="3">
    <mergeCell ref="E3:E4"/>
    <mergeCell ref="M3:M4"/>
    <mergeCell ref="G3:H3"/>
  </mergeCells>
  <phoneticPr fontId="2" type="noConversion"/>
  <conditionalFormatting sqref="D32">
    <cfRule type="cellIs" dxfId="1" priority="1" stopIfTrue="1" operator="equal">
      <formula>#REF!</formula>
    </cfRule>
  </conditionalFormatting>
  <conditionalFormatting sqref="D35:L35">
    <cfRule type="cellIs" dxfId="0" priority="2" stopIfTrue="1" operator="equal">
      <formula>$D$37</formula>
    </cfRule>
  </conditionalFormatting>
  <dataValidations xWindow="182" yWindow="178" count="1">
    <dataValidation type="list" allowBlank="1" showInputMessage="1" showErrorMessage="1" errorTitle="Errore" error="Dato non valido" promptTitle="Scegli un ingrediente" prompt="Seleziona un ingrediente dall'elenco" sqref="C9:C29 C5:C7" xr:uid="{00000000-0002-0000-0100-000000000000}">
      <formula1>$B:$B</formula1>
    </dataValidation>
  </dataValidations>
  <pageMargins left="0.75" right="0.75" top="1" bottom="1" header="0.5" footer="0.5"/>
  <headerFooter alignWithMargins="0"/>
  <ignoredErrors>
    <ignoredError sqref="F5:G5 J5" emptyCellReference="1"/>
  </ignoredErrors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52"/>
  <sheetViews>
    <sheetView topLeftCell="B9" zoomScale="125" zoomScaleNormal="125" zoomScalePageLayoutView="125" workbookViewId="0">
      <selection activeCell="J16" sqref="J16"/>
    </sheetView>
  </sheetViews>
  <sheetFormatPr baseColWidth="10" defaultColWidth="8.6640625" defaultRowHeight="13" x14ac:dyDescent="0.15"/>
  <cols>
    <col min="1" max="1" width="21.5" hidden="1" customWidth="1"/>
    <col min="2" max="2" width="9.1640625" customWidth="1"/>
    <col min="3" max="3" width="11.33203125" customWidth="1"/>
    <col min="5" max="5" width="8.5" customWidth="1"/>
    <col min="6" max="6" width="9.1640625" style="10" customWidth="1"/>
  </cols>
  <sheetData>
    <row r="2" spans="1:8" x14ac:dyDescent="0.15">
      <c r="A2" s="1">
        <f>G31/calculator!D30</f>
        <v>0.65919578114700073</v>
      </c>
    </row>
    <row r="4" spans="1:8" ht="23" x14ac:dyDescent="0.25">
      <c r="B4" s="28">
        <f>calculator!C3</f>
        <v>0</v>
      </c>
    </row>
    <row r="6" spans="1:8" x14ac:dyDescent="0.15">
      <c r="B6" s="46" t="s">
        <v>75</v>
      </c>
      <c r="C6" s="46"/>
      <c r="D6" s="27"/>
      <c r="E6" s="27"/>
    </row>
    <row r="7" spans="1:8" x14ac:dyDescent="0.15">
      <c r="B7" s="22"/>
      <c r="D7" s="27"/>
    </row>
    <row r="11" spans="1:8" x14ac:dyDescent="0.15">
      <c r="B11" s="5" t="s">
        <v>47</v>
      </c>
      <c r="C11" s="6"/>
      <c r="D11" s="6"/>
      <c r="E11" s="47"/>
      <c r="F11" s="7" t="s">
        <v>148</v>
      </c>
      <c r="G11" s="11" t="s">
        <v>149</v>
      </c>
      <c r="H11" s="45" t="s">
        <v>146</v>
      </c>
    </row>
    <row r="12" spans="1:8" x14ac:dyDescent="0.15">
      <c r="B12" s="2">
        <f>calculator!C5</f>
        <v>0</v>
      </c>
      <c r="E12" s="37"/>
      <c r="F12" t="s">
        <v>0</v>
      </c>
      <c r="G12" s="12">
        <f>$A$2*calculator!D5</f>
        <v>0</v>
      </c>
      <c r="H12" s="32">
        <f t="shared" ref="H12:H17" si="0">G12/$G$31</f>
        <v>0</v>
      </c>
    </row>
    <row r="13" spans="1:8" x14ac:dyDescent="0.15">
      <c r="B13" s="2" t="str">
        <f>calculator!C6</f>
        <v>Сливки 33%</v>
      </c>
      <c r="E13" s="37"/>
      <c r="F13" t="s">
        <v>0</v>
      </c>
      <c r="G13" s="12">
        <f>$A$2*calculator!D6</f>
        <v>7.9103493737640083</v>
      </c>
      <c r="H13" s="32">
        <f t="shared" si="0"/>
        <v>1.9775873434410021E-2</v>
      </c>
    </row>
    <row r="14" spans="1:8" x14ac:dyDescent="0.15">
      <c r="B14" s="2" t="e">
        <f>calculator!#REF!</f>
        <v>#REF!</v>
      </c>
      <c r="E14" s="37"/>
      <c r="F14" t="s">
        <v>0</v>
      </c>
      <c r="G14" s="12">
        <f>$A$2*calculator!D7</f>
        <v>0.5273566249176006</v>
      </c>
      <c r="H14" s="32">
        <f t="shared" si="0"/>
        <v>1.3183915622940014E-3</v>
      </c>
    </row>
    <row r="15" spans="1:8" x14ac:dyDescent="0.15">
      <c r="B15" s="2" t="str">
        <f>calculator!C7</f>
        <v>sugar inverted</v>
      </c>
      <c r="E15" s="37"/>
      <c r="F15" t="s">
        <v>0</v>
      </c>
      <c r="G15" s="12">
        <f>$A$2*calculator!D8</f>
        <v>1.9775873434410021</v>
      </c>
      <c r="H15" s="32">
        <f t="shared" si="0"/>
        <v>4.9439683586025053E-3</v>
      </c>
    </row>
    <row r="16" spans="1:8" x14ac:dyDescent="0.15">
      <c r="B16" s="2" t="str">
        <f>calculator!C9</f>
        <v>sugar sorbitol</v>
      </c>
      <c r="E16" s="37"/>
      <c r="F16" t="s">
        <v>0</v>
      </c>
      <c r="G16" s="12">
        <f>$A$2*calculator!D9</f>
        <v>21.753460777851025</v>
      </c>
      <c r="H16" s="32">
        <f t="shared" si="0"/>
        <v>5.4383651944627562E-2</v>
      </c>
    </row>
    <row r="17" spans="2:8" x14ac:dyDescent="0.15">
      <c r="B17" s="2" t="str">
        <f>calculator!C10</f>
        <v>callebaut 823</v>
      </c>
      <c r="E17" s="37"/>
      <c r="F17" t="s">
        <v>0</v>
      </c>
      <c r="G17" s="12">
        <f>$A$2*calculator!D10</f>
        <v>230.71852340145026</v>
      </c>
      <c r="H17" s="32">
        <f t="shared" si="0"/>
        <v>0.57679630850362562</v>
      </c>
    </row>
    <row r="18" spans="2:8" x14ac:dyDescent="0.15">
      <c r="B18" s="2" t="str">
        <f>calculator!C11</f>
        <v>fruit puree вишня</v>
      </c>
      <c r="E18" s="37"/>
      <c r="F18" t="s">
        <v>0</v>
      </c>
      <c r="G18" s="12">
        <f>$A$2*calculator!D11</f>
        <v>112.06328279499013</v>
      </c>
      <c r="H18" s="32">
        <f t="shared" ref="H18:H25" si="1">G18/$G$31</f>
        <v>0.28015820698747534</v>
      </c>
    </row>
    <row r="19" spans="2:8" x14ac:dyDescent="0.15">
      <c r="B19" s="2" t="str">
        <f>calculator!C12</f>
        <v>butter fresh</v>
      </c>
      <c r="E19" s="37"/>
      <c r="F19" t="s">
        <v>0</v>
      </c>
      <c r="G19" s="12">
        <f>$A$2*calculator!D12</f>
        <v>1.9775873434410021</v>
      </c>
      <c r="H19" s="32">
        <f t="shared" si="1"/>
        <v>4.9439683586025053E-3</v>
      </c>
    </row>
    <row r="20" spans="2:8" x14ac:dyDescent="0.15">
      <c r="B20" s="2">
        <f>calculator!C13</f>
        <v>0</v>
      </c>
      <c r="E20" s="37"/>
      <c r="F20" t="s">
        <v>0</v>
      </c>
      <c r="G20" s="12">
        <f>$A$2*calculator!D13</f>
        <v>23.071852340145025</v>
      </c>
      <c r="H20" s="32">
        <f t="shared" si="1"/>
        <v>5.7679630850362561E-2</v>
      </c>
    </row>
    <row r="21" spans="2:8" x14ac:dyDescent="0.15">
      <c r="B21" s="2">
        <f>calculator!C14</f>
        <v>0</v>
      </c>
      <c r="E21" s="37"/>
      <c r="F21" t="s">
        <v>0</v>
      </c>
      <c r="G21" s="12">
        <f>$A$2*calculator!D14</f>
        <v>0</v>
      </c>
      <c r="H21" s="32">
        <f t="shared" si="1"/>
        <v>0</v>
      </c>
    </row>
    <row r="22" spans="2:8" x14ac:dyDescent="0.15">
      <c r="B22" s="2">
        <f>calculator!C15</f>
        <v>0</v>
      </c>
      <c r="E22" s="37"/>
      <c r="F22" t="s">
        <v>0</v>
      </c>
      <c r="G22" s="12">
        <f>$A$2*calculator!D15</f>
        <v>0</v>
      </c>
      <c r="H22" s="32">
        <f t="shared" si="1"/>
        <v>0</v>
      </c>
    </row>
    <row r="23" spans="2:8" x14ac:dyDescent="0.15">
      <c r="B23" s="2">
        <f>calculator!C16</f>
        <v>0</v>
      </c>
      <c r="E23" s="37"/>
      <c r="F23" t="s">
        <v>0</v>
      </c>
      <c r="G23" s="12">
        <f>$A$2*calculator!D16</f>
        <v>0</v>
      </c>
      <c r="H23" s="32">
        <f t="shared" si="1"/>
        <v>0</v>
      </c>
    </row>
    <row r="24" spans="2:8" x14ac:dyDescent="0.15">
      <c r="B24" s="2">
        <f>calculator!C17</f>
        <v>0</v>
      </c>
      <c r="E24" s="37"/>
      <c r="F24" t="s">
        <v>0</v>
      </c>
      <c r="G24" s="12">
        <f>$A$2*calculator!D17</f>
        <v>0</v>
      </c>
      <c r="H24" s="32">
        <f t="shared" si="1"/>
        <v>0</v>
      </c>
    </row>
    <row r="25" spans="2:8" x14ac:dyDescent="0.15">
      <c r="B25" s="2">
        <f>calculator!C18</f>
        <v>0</v>
      </c>
      <c r="E25" s="37"/>
      <c r="F25" t="s">
        <v>0</v>
      </c>
      <c r="G25" s="12">
        <f>$A$2*calculator!D18</f>
        <v>0</v>
      </c>
      <c r="H25" s="32">
        <f t="shared" si="1"/>
        <v>0</v>
      </c>
    </row>
    <row r="26" spans="2:8" x14ac:dyDescent="0.15">
      <c r="B26" s="2"/>
      <c r="E26" s="37"/>
      <c r="F26"/>
      <c r="G26" s="12"/>
      <c r="H26" s="29"/>
    </row>
    <row r="27" spans="2:8" x14ac:dyDescent="0.15">
      <c r="B27" s="2"/>
      <c r="E27" s="37"/>
      <c r="F27"/>
      <c r="G27" s="12"/>
      <c r="H27" s="29"/>
    </row>
    <row r="28" spans="2:8" x14ac:dyDescent="0.15">
      <c r="B28" s="2"/>
      <c r="E28" s="37"/>
      <c r="F28"/>
      <c r="G28" s="12"/>
      <c r="H28" s="29"/>
    </row>
    <row r="29" spans="2:8" x14ac:dyDescent="0.15">
      <c r="B29" s="3"/>
      <c r="C29" s="4"/>
      <c r="D29" s="4"/>
      <c r="E29" s="38"/>
      <c r="F29" s="4"/>
      <c r="G29" s="13"/>
      <c r="H29" s="30"/>
    </row>
    <row r="30" spans="2:8" ht="14" thickBot="1" x14ac:dyDescent="0.2"/>
    <row r="31" spans="2:8" ht="14" thickBot="1" x14ac:dyDescent="0.2">
      <c r="C31" s="8" t="s">
        <v>71</v>
      </c>
      <c r="D31" s="42"/>
      <c r="E31" s="9"/>
      <c r="F31" s="48"/>
      <c r="G31" s="24">
        <v>400</v>
      </c>
    </row>
    <row r="32" spans="2:8" ht="14" thickBot="1" x14ac:dyDescent="0.2">
      <c r="C32" s="40" t="s">
        <v>72</v>
      </c>
      <c r="D32" s="20"/>
      <c r="E32" s="41"/>
      <c r="F32" s="50"/>
      <c r="G32" s="43">
        <f>$G$31*calculator!$M$30/calculator!$D$30</f>
        <v>0</v>
      </c>
    </row>
    <row r="33" spans="2:9" ht="14" thickBot="1" x14ac:dyDescent="0.2">
      <c r="C33" s="40" t="s">
        <v>73</v>
      </c>
      <c r="D33" s="20"/>
      <c r="E33" s="20"/>
      <c r="F33" s="50"/>
      <c r="G33" s="49">
        <v>0</v>
      </c>
    </row>
    <row r="34" spans="2:9" ht="14" thickBot="1" x14ac:dyDescent="0.2">
      <c r="C34" s="40" t="s">
        <v>73</v>
      </c>
      <c r="D34" s="20" t="s">
        <v>74</v>
      </c>
      <c r="E34" s="20"/>
      <c r="F34" s="50"/>
      <c r="G34" s="44" t="e">
        <f>$G$32/$G$33</f>
        <v>#DIV/0!</v>
      </c>
    </row>
    <row r="38" spans="2:9" ht="14" thickBot="1" x14ac:dyDescent="0.2">
      <c r="B38" s="22" t="s">
        <v>76</v>
      </c>
      <c r="F38"/>
    </row>
    <row r="39" spans="2:9" x14ac:dyDescent="0.15">
      <c r="B39" s="14"/>
      <c r="C39" s="15"/>
      <c r="D39" s="15"/>
      <c r="E39" s="15"/>
      <c r="F39" s="15"/>
      <c r="G39" s="15"/>
      <c r="H39" s="15"/>
      <c r="I39" s="16"/>
    </row>
    <row r="40" spans="2:9" x14ac:dyDescent="0.15">
      <c r="B40" s="17"/>
      <c r="F40"/>
      <c r="I40" s="18"/>
    </row>
    <row r="41" spans="2:9" x14ac:dyDescent="0.15">
      <c r="B41" s="17"/>
      <c r="F41"/>
      <c r="I41" s="18"/>
    </row>
    <row r="42" spans="2:9" x14ac:dyDescent="0.15">
      <c r="B42" s="17"/>
      <c r="F42"/>
      <c r="I42" s="18"/>
    </row>
    <row r="43" spans="2:9" x14ac:dyDescent="0.15">
      <c r="B43" s="17"/>
      <c r="F43"/>
      <c r="I43" s="18"/>
    </row>
    <row r="44" spans="2:9" x14ac:dyDescent="0.15">
      <c r="B44" s="17"/>
      <c r="F44"/>
      <c r="I44" s="18"/>
    </row>
    <row r="45" spans="2:9" x14ac:dyDescent="0.15">
      <c r="B45" s="17"/>
      <c r="F45"/>
      <c r="I45" s="18"/>
    </row>
    <row r="46" spans="2:9" x14ac:dyDescent="0.15">
      <c r="B46" s="17"/>
      <c r="F46"/>
      <c r="I46" s="18"/>
    </row>
    <row r="47" spans="2:9" x14ac:dyDescent="0.15">
      <c r="B47" s="17"/>
      <c r="F47"/>
      <c r="I47" s="18"/>
    </row>
    <row r="48" spans="2:9" x14ac:dyDescent="0.15">
      <c r="B48" s="17"/>
      <c r="F48"/>
      <c r="I48" s="18"/>
    </row>
    <row r="49" spans="2:9" x14ac:dyDescent="0.15">
      <c r="B49" s="17"/>
      <c r="F49"/>
      <c r="I49" s="18"/>
    </row>
    <row r="50" spans="2:9" x14ac:dyDescent="0.15">
      <c r="B50" s="17"/>
      <c r="F50"/>
      <c r="I50" s="18"/>
    </row>
    <row r="51" spans="2:9" x14ac:dyDescent="0.15">
      <c r="B51" s="17"/>
      <c r="F51"/>
      <c r="I51" s="18"/>
    </row>
    <row r="52" spans="2:9" ht="14" thickBot="1" x14ac:dyDescent="0.2">
      <c r="B52" s="19"/>
      <c r="C52" s="20"/>
      <c r="D52" s="20"/>
      <c r="E52" s="20"/>
      <c r="F52" s="20"/>
      <c r="G52" s="20"/>
      <c r="H52" s="20"/>
      <c r="I52" s="21"/>
    </row>
  </sheetData>
  <phoneticPr fontId="2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Database</vt:lpstr>
      <vt:lpstr>calculator</vt:lpstr>
      <vt:lpstr>page 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ПрогГанаш</dc:title>
  <dc:subject/>
  <dc:creator>OFJ</dc:creator>
  <cp:keywords/>
  <dc:description/>
  <cp:lastModifiedBy>Anna Fediai</cp:lastModifiedBy>
  <cp:lastPrinted>2017-11-30T08:15:55Z</cp:lastPrinted>
  <dcterms:created xsi:type="dcterms:W3CDTF">2012-04-30T13:58:21Z</dcterms:created>
  <dcterms:modified xsi:type="dcterms:W3CDTF">2026-04-04T11:38:40Z</dcterms:modified>
  <cp:category/>
</cp:coreProperties>
</file>